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Release Task Tracking" sheetId="3" state="visible" r:id="rId3"/>
    <sheet xmlns:r="http://schemas.openxmlformats.org/officeDocument/2006/relationships" name="Release Checklist" sheetId="4" state="visible" r:id="rId4"/>
    <sheet xmlns:r="http://schemas.openxmlformats.org/officeDocument/2006/relationships" name="Sprint 1 (2008~2608)" sheetId="5" state="visible" r:id="rId5"/>
    <sheet xmlns:r="http://schemas.openxmlformats.org/officeDocument/2006/relationships" name="Sprint 2 (2708~0209)" sheetId="6" state="visible" r:id="rId6"/>
    <sheet xmlns:r="http://schemas.openxmlformats.org/officeDocument/2006/relationships" name="Sprint 3 (0309~0909)" sheetId="7" state="visible" r:id="rId7"/>
    <sheet xmlns:r="http://schemas.openxmlformats.org/officeDocument/2006/relationships" name="Sprint 4 (1009~1609)" sheetId="8" state="visible" r:id="rId8"/>
    <sheet xmlns:r="http://schemas.openxmlformats.org/officeDocument/2006/relationships" name="Sprint 5 (1709~2309)" sheetId="9" state="visible" r:id="rId9"/>
  </sheets>
  <definedNames>
    <definedName name="_xlnm._FilterDatabase" localSheetId="1" hidden="1">'Requirements'!$A$2:$J$12</definedName>
    <definedName name="_xlnm._FilterDatabase" localSheetId="2" hidden="1">'Release Task Tracking'!$A$1:$K$57</definedName>
    <definedName name="_xlnm._FilterDatabase" localSheetId="4" hidden="1">'Sprint 1 (2008~2608)'!$A$11:$M$22</definedName>
    <definedName name="_xlnm._FilterDatabase" localSheetId="5" hidden="1">'Sprint 2 (2708~0209)'!$A$11:$M$23</definedName>
    <definedName name="_xlnm._FilterDatabase" localSheetId="6" hidden="1">'Sprint 3 (0309~0909)'!$A$11:$M$21</definedName>
    <definedName name="_xlnm._FilterDatabase" localSheetId="7" hidden="1">'Sprint 4 (1009~1609)'!$A$11:$M$26</definedName>
    <definedName name="_xlnm._FilterDatabase" localSheetId="8" hidden="1">'Sprint 5 (1709~2309)'!$A$11:$M$19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595959"/>
    </font>
    <font>
      <sz val="11"/>
    </font>
    <font>
      <b val="1"/>
      <color rgb="001F2A44"/>
    </font>
    <font>
      <i val="1"/>
      <color rgb="00595959"/>
      <sz val="9"/>
    </font>
    <font>
      <b val="1"/>
      <color rgb="00FFFFFF"/>
    </font>
    <font>
      <b val="1"/>
      <color rgb="001F2A44"/>
      <sz val="14"/>
    </font>
    <font>
      <b val="1"/>
    </font>
    <font>
      <b val="1"/>
      <color rgb="001F2A44"/>
      <sz val="11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9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9" fillId="3" borderId="0" pivotButton="0" quotePrefix="0" xfId="0"/>
    <xf numFmtId="0" fontId="0" fillId="3" borderId="0" pivotButton="0" quotePrefix="0" xfId="0"/>
    <xf numFmtId="0" fontId="11" fillId="0" borderId="0" pivotButton="0" quotePrefix="0" xfId="0"/>
    <xf numFmtId="0" fontId="10" fillId="0" borderId="0" pivotButton="0" quotePrefix="0" xfId="0"/>
    <xf numFmtId="9" fontId="1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9D9D9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4A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Project Tracking — Multimodal Fashion Product Search</t>
        </is>
      </c>
    </row>
    <row r="3">
      <c r="B3" s="2" t="inlineStr">
        <is>
          <t>5 sprint x 1 tuần | Hùng, Hiếu, Hiệp, Hưng</t>
        </is>
      </c>
    </row>
    <row r="5">
      <c r="B5" s="3" t="inlineStr">
        <is>
          <t>•  Requirements: yêu cầu/phạm vi cấp cao của đồ án.</t>
        </is>
      </c>
    </row>
    <row r="6">
      <c r="B6" s="3" t="inlineStr">
        <is>
          <t>•  Release Task Tracking: toàn bộ task của 5 sprint trong 1 bảng.</t>
        </is>
      </c>
    </row>
    <row r="7">
      <c r="B7" s="3" t="inlineStr">
        <is>
          <t>•  Release Checklist: checklist ngày nộp báo cáo + demo cuối kỳ.</t>
        </is>
      </c>
    </row>
    <row r="8">
      <c r="B8" s="3" t="inlineStr">
        <is>
          <t>•  Sprint 1..5: mục tiêu tuần, giờ công, và backlog task chi tiết.</t>
        </is>
      </c>
    </row>
    <row r="9">
      <c r="B9" s="3" t="inlineStr"/>
    </row>
    <row r="10">
      <c r="B10" s="4" t="inlineStr">
        <is>
          <t>Cách dùng</t>
        </is>
      </c>
    </row>
    <row r="11">
      <c r="B11" s="3" t="inlineStr">
        <is>
          <t>1.  Tự cập nhật Status task của mình: To Do -&gt; Doing -&gt; Testing -&gt; Done.</t>
        </is>
      </c>
    </row>
    <row r="12">
      <c r="B12" s="3" t="inlineStr">
        <is>
          <t>2.  Confirm = đã xong và ổn; Reject = cần làm lại, ghi lý do vào cột Note; Pending = đang chờ/bị chặn.</t>
        </is>
      </c>
    </row>
    <row r="13">
      <c r="B13" s="3" t="inlineStr">
        <is>
          <t>3.  Điền số giờ thật vào "Dev Actual (h)" / "Test Actual (h)" khi xong.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4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30" customWidth="1" min="10" max="10"/>
  </cols>
  <sheetData>
    <row r="1" ht="20" customHeight="1">
      <c r="A1" s="5" t="inlineStr">
        <is>
          <t>Chú thích Status ・New: chưa bắt đầu ・In Progress: đang triển khai ・Done: đã hoàn tất ・Closed: không cần xử lý nữa ・Pending: tạm hoãn</t>
        </is>
      </c>
    </row>
    <row r="2" ht="30" customHeight="1">
      <c r="A2" s="6" t="inlineStr">
        <is>
          <t>No.</t>
        </is>
      </c>
      <c r="B2" s="6" t="inlineStr">
        <is>
          <t>Category</t>
        </is>
      </c>
      <c r="C2" s="6" t="inlineStr">
        <is>
          <t>Requirement / Background</t>
        </is>
      </c>
      <c r="D2" s="6" t="inlineStr">
        <is>
          <t>Expected Outcome</t>
        </is>
      </c>
      <c r="E2" s="6" t="inlineStr">
        <is>
          <t>Requested By</t>
        </is>
      </c>
      <c r="F2" s="6" t="inlineStr">
        <is>
          <t>Priority</t>
        </is>
      </c>
      <c r="G2" s="6" t="inlineStr">
        <is>
          <t>Target Sprint</t>
        </is>
      </c>
      <c r="H2" s="6" t="inlineStr">
        <is>
          <t>Status</t>
        </is>
      </c>
      <c r="I2" s="6" t="inlineStr">
        <is>
          <t>Ticket/Link</t>
        </is>
      </c>
      <c r="J2" s="6" t="inlineStr">
        <is>
          <t>Note</t>
        </is>
      </c>
    </row>
    <row r="3">
      <c r="A3" s="7" t="inlineStr">
        <is>
          <t>1</t>
        </is>
      </c>
      <c r="B3" s="7" t="inlineStr">
        <is>
          <t>Problem Statement</t>
        </is>
      </c>
      <c r="C3" s="7" t="inlineStr">
        <is>
          <t>Xây hệ thống truy hồi đa mô thức (text/ảnh tiếng Việt) cho thời trang</t>
        </is>
      </c>
      <c r="D3" s="7" t="inlineStr">
        <is>
          <t>API + demo trả top-K sản phẩm theo độ tương đồng ngữ nghĩa, latency &lt;200ms</t>
        </is>
      </c>
      <c r="E3" s="7" t="inlineStr">
        <is>
          <t>Đề cương</t>
        </is>
      </c>
      <c r="F3" s="7" t="inlineStr">
        <is>
          <t>High</t>
        </is>
      </c>
      <c r="G3" s="7" t="inlineStr">
        <is>
          <t>Sprint 1-5</t>
        </is>
      </c>
      <c r="H3" s="7" t="inlineStr">
        <is>
          <t>In Progress</t>
        </is>
      </c>
      <c r="I3" s="7" t="inlineStr">
        <is>
          <t>DeCuong_MultimodalFashionSearch.md</t>
        </is>
      </c>
      <c r="J3" s="7" t="inlineStr">
        <is>
          <t>Đề cương Mục 1</t>
        </is>
      </c>
    </row>
    <row r="4">
      <c r="A4" s="7">
        <f>ROW()-2</f>
        <v/>
      </c>
      <c r="B4" s="7" t="inlineStr">
        <is>
          <t>Data</t>
        </is>
      </c>
      <c r="C4" s="7" t="inlineStr">
        <is>
          <t>Chuyển sang dùng dataset công khai (FashionGen/DeepFashion/Fashionpedia) thay crawl TMĐT VN</t>
        </is>
      </c>
      <c r="D4" s="7" t="inlineStr">
        <is>
          <t>Dataset 20-50k sản phẩm, subsample sẵn, đúng license, không cần xử lý pháp lý</t>
        </is>
      </c>
      <c r="E4" s="7" t="inlineStr">
        <is>
          <t>Hưng</t>
        </is>
      </c>
      <c r="F4" s="7" t="inlineStr">
        <is>
          <t>High</t>
        </is>
      </c>
      <c r="G4" s="7" t="inlineStr">
        <is>
          <t>Sprint 1</t>
        </is>
      </c>
      <c r="H4" s="7" t="inlineStr">
        <is>
          <t>New</t>
        </is>
      </c>
      <c r="I4" s="7" t="inlineStr"/>
      <c r="J4" s="7" t="inlineStr">
        <is>
          <t>Đề cương Mục 3.2</t>
        </is>
      </c>
    </row>
    <row r="5">
      <c r="A5" s="7">
        <f>ROW()-2</f>
        <v/>
      </c>
      <c r="B5" s="7" t="inlineStr">
        <is>
          <t>Model</t>
        </is>
      </c>
      <c r="C5" s="7" t="inlineStr">
        <is>
          <t>SigLIP 2 (ViT-B) + LoRA/DoRA adapter làm backbone chính</t>
        </is>
      </c>
      <c r="D5" s="7" t="inlineStr">
        <is>
          <t>Checkpoint fine-tune, chọn theo Recall@5 val</t>
        </is>
      </c>
      <c r="E5" s="7" t="inlineStr">
        <is>
          <t>Hùng</t>
        </is>
      </c>
      <c r="F5" s="7" t="inlineStr">
        <is>
          <t>High</t>
        </is>
      </c>
      <c r="G5" s="7" t="inlineStr">
        <is>
          <t>Sprint 3-4</t>
        </is>
      </c>
      <c r="H5" s="7" t="inlineStr">
        <is>
          <t>New</t>
        </is>
      </c>
      <c r="I5" s="7" t="inlineStr"/>
      <c r="J5" s="7" t="inlineStr">
        <is>
          <t>Đề cương Mục 3.3</t>
        </is>
      </c>
    </row>
    <row r="6">
      <c r="A6" s="7">
        <f>ROW()-2</f>
        <v/>
      </c>
      <c r="B6" s="7" t="inlineStr">
        <is>
          <t>Model</t>
        </is>
      </c>
      <c r="C6" s="7" t="inlineStr">
        <is>
          <t>Bổ sung ViSigLIP-OT — backbone bản ngữ tiếng Việt (phát hiện 08/2026)</t>
        </is>
      </c>
      <c r="D6" s="7" t="inlineStr">
        <is>
          <t>Baseline zero-shot mới + khả năng fine-tune song song</t>
        </is>
      </c>
      <c r="E6" s="7" t="inlineStr">
        <is>
          <t>Hùng</t>
        </is>
      </c>
      <c r="F6" s="7" t="inlineStr">
        <is>
          <t>High</t>
        </is>
      </c>
      <c r="G6" s="7" t="inlineStr">
        <is>
          <t>Sprint 2-4</t>
        </is>
      </c>
      <c r="H6" s="7" t="inlineStr">
        <is>
          <t>New</t>
        </is>
      </c>
      <c r="I6" s="7" t="inlineStr"/>
      <c r="J6" s="7" t="inlineStr">
        <is>
          <t>Đề cương Mục 2.5</t>
        </is>
      </c>
    </row>
    <row r="7">
      <c r="A7" s="7">
        <f>ROW()-2</f>
        <v/>
      </c>
      <c r="B7" s="7" t="inlineStr">
        <is>
          <t>Evaluation</t>
        </is>
      </c>
      <c r="C7" s="7" t="inlineStr">
        <is>
          <t>150–200 truy vấn tiếng Việt tự soạn, có phân tầng</t>
        </is>
      </c>
      <c r="D7" s="7" t="inlineStr">
        <is>
          <t>queries.json đầy đủ, đa dạng loại truy vấn</t>
        </is>
      </c>
      <c r="E7" s="7" t="inlineStr">
        <is>
          <t>Hiếu</t>
        </is>
      </c>
      <c r="F7" s="7" t="inlineStr">
        <is>
          <t>High</t>
        </is>
      </c>
      <c r="G7" s="7" t="inlineStr">
        <is>
          <t>Sprint 1-2</t>
        </is>
      </c>
      <c r="H7" s="7" t="inlineStr">
        <is>
          <t>New</t>
        </is>
      </c>
      <c r="I7" s="7" t="inlineStr"/>
      <c r="J7" s="7" t="inlineStr">
        <is>
          <t>Đề cương Mục 3.4</t>
        </is>
      </c>
    </row>
    <row r="8">
      <c r="A8" s="7">
        <f>ROW()-2</f>
        <v/>
      </c>
      <c r="B8" s="7" t="inlineStr">
        <is>
          <t>Evaluation</t>
        </is>
      </c>
      <c r="C8" s="7" t="inlineStr">
        <is>
          <t>Chấm nhãn blind pooling top-20, 2 người/kết quả + Cohen's kappa</t>
        </is>
      </c>
      <c r="D8" s="7" t="inlineStr">
        <is>
          <t>relevance.json + báo cáo kappa</t>
        </is>
      </c>
      <c r="E8" s="7" t="inlineStr">
        <is>
          <t>Hiếu</t>
        </is>
      </c>
      <c r="F8" s="7" t="inlineStr">
        <is>
          <t>High</t>
        </is>
      </c>
      <c r="G8" s="7" t="inlineStr">
        <is>
          <t>Sprint 3</t>
        </is>
      </c>
      <c r="H8" s="7" t="inlineStr">
        <is>
          <t>New</t>
        </is>
      </c>
      <c r="I8" s="7" t="inlineStr"/>
      <c r="J8" s="7" t="inlineStr">
        <is>
          <t>Đề cương Mục 3.4</t>
        </is>
      </c>
    </row>
    <row r="9">
      <c r="A9" s="7">
        <f>ROW()-2</f>
        <v/>
      </c>
      <c r="B9" s="7" t="inlineStr">
        <is>
          <t>Evaluation</t>
        </is>
      </c>
      <c r="C9" s="7" t="inlineStr">
        <is>
          <t>7 trục ablation (rank, hard-neg, batch, adapter split, SigLIP1v2, DoRA vs LoRA, SigLIP2 vs ViSigLIP-OT)</t>
        </is>
      </c>
      <c r="D9" s="7" t="inlineStr">
        <is>
          <t>Bảng ablation đầy đủ; nếu thiếu giờ máy, dừng theo thứ tự ưu tiên và ghi rõ</t>
        </is>
      </c>
      <c r="E9" s="7" t="inlineStr">
        <is>
          <t>Hùng</t>
        </is>
      </c>
      <c r="F9" s="7" t="inlineStr">
        <is>
          <t>Medium</t>
        </is>
      </c>
      <c r="G9" s="7" t="inlineStr">
        <is>
          <t>Sprint 4</t>
        </is>
      </c>
      <c r="H9" s="7" t="inlineStr">
        <is>
          <t>New</t>
        </is>
      </c>
      <c r="I9" s="7" t="inlineStr"/>
      <c r="J9" s="7" t="inlineStr">
        <is>
          <t>Đề cương Mục 5.3</t>
        </is>
      </c>
    </row>
    <row r="10">
      <c r="A10" s="7">
        <f>ROW()-2</f>
        <v/>
      </c>
      <c r="B10" s="7" t="inlineStr">
        <is>
          <t>Systems</t>
        </is>
      </c>
      <c r="C10" s="7" t="inlineStr">
        <is>
          <t>Qdrant index + FastAPI + Streamlit demo</t>
        </is>
      </c>
      <c r="D10" s="7" t="inlineStr">
        <is>
          <t>Demo chạy đầu-cuối, latency đo 3 thành phần p50/p95</t>
        </is>
      </c>
      <c r="E10" s="7" t="inlineStr">
        <is>
          <t>Hiệp</t>
        </is>
      </c>
      <c r="F10" s="7" t="inlineStr">
        <is>
          <t>High</t>
        </is>
      </c>
      <c r="G10" s="7" t="inlineStr">
        <is>
          <t>Sprint 1-5</t>
        </is>
      </c>
      <c r="H10" s="7" t="inlineStr">
        <is>
          <t>New</t>
        </is>
      </c>
      <c r="I10" s="7" t="inlineStr"/>
      <c r="J10" s="7" t="inlineStr">
        <is>
          <t>Đề cương Mục 4</t>
        </is>
      </c>
    </row>
    <row r="11">
      <c r="A11" s="7">
        <f>ROW()-2</f>
        <v/>
      </c>
      <c r="B11" s="7" t="inlineStr">
        <is>
          <t>Risk</t>
        </is>
      </c>
      <c r="C11" s="7" t="inlineStr">
        <is>
          <t>Dataset công khai có thể thiếu ảnh áo dài/áo bà ba</t>
        </is>
      </c>
      <c r="D11" s="7" t="inlineStr">
        <is>
          <t>Ghi nhận &amp; loại khỏi Recall định lượng, chỉ báo cáo quan sát định tính</t>
        </is>
      </c>
      <c r="E11" s="7" t="inlineStr">
        <is>
          <t>Hưng</t>
        </is>
      </c>
      <c r="F11" s="7" t="inlineStr">
        <is>
          <t>Medium</t>
        </is>
      </c>
      <c r="G11" s="7" t="inlineStr">
        <is>
          <t>Sprint 2-4</t>
        </is>
      </c>
      <c r="H11" s="7" t="inlineStr">
        <is>
          <t>New</t>
        </is>
      </c>
      <c r="I11" s="7" t="inlineStr"/>
      <c r="J11" s="7" t="inlineStr">
        <is>
          <t>Đề cương Mục 3.2/6.1</t>
        </is>
      </c>
    </row>
    <row r="12">
      <c r="A12" s="7">
        <f>ROW()-2</f>
        <v/>
      </c>
      <c r="B12" s="7" t="inlineStr">
        <is>
          <t>Report</t>
        </is>
      </c>
      <c r="C12" s="7" t="inlineStr">
        <is>
          <t>Viết báo cáo + slide + tập trình bày cuối kỳ</t>
        </is>
      </c>
      <c r="D12" s="7" t="inlineStr">
        <is>
          <t>Báo cáo hoàn chỉnh, demo trình diễn được</t>
        </is>
      </c>
      <c r="E12" s="7" t="inlineStr">
        <is>
          <t>Cả nhóm</t>
        </is>
      </c>
      <c r="F12" s="7" t="inlineStr">
        <is>
          <t>High</t>
        </is>
      </c>
      <c r="G12" s="7" t="inlineStr">
        <is>
          <t>Sprint 5</t>
        </is>
      </c>
      <c r="H12" s="7" t="inlineStr">
        <is>
          <t>New</t>
        </is>
      </c>
      <c r="I12" s="7" t="inlineStr"/>
      <c r="J12" s="7" t="inlineStr">
        <is>
          <t>Đề cương Mục 4.5</t>
        </is>
      </c>
    </row>
  </sheetData>
  <autoFilter ref="A2:J12"/>
  <mergeCells count="1">
    <mergeCell ref="A1:J1"/>
  </mergeCells>
  <conditionalFormatting sqref="H3:H12">
    <cfRule type="cellIs" priority="1" operator="equal" dxfId="0">
      <formula>"New"</formula>
    </cfRule>
    <cfRule type="cellIs" priority="2" operator="equal" dxfId="0">
      <formula>"To Do"</formula>
    </cfRule>
    <cfRule type="cellIs" priority="3" operator="equal" dxfId="0">
      <formula>"Todo"</formula>
    </cfRule>
    <cfRule type="cellIs" priority="4" operator="equal" dxfId="1">
      <formula>"In Progress"</formula>
    </cfRule>
    <cfRule type="cellIs" priority="5" operator="equal" dxfId="1">
      <formula>"Doing"</formula>
    </cfRule>
    <cfRule type="cellIs" priority="6" operator="equal" dxfId="1">
      <formula>"Testing"</formula>
    </cfRule>
    <cfRule type="cellIs" priority="7" operator="equal" dxfId="2">
      <formula>"Done"</formula>
    </cfRule>
    <cfRule type="cellIs" priority="8" operator="equal" dxfId="2">
      <formula>"Confirm"</formula>
    </cfRule>
    <cfRule type="cellIs" priority="9" operator="equal" dxfId="2">
      <formula>"Released"</formula>
    </cfRule>
    <cfRule type="cellIs" priority="10" operator="equal" dxfId="2">
      <formula>"Closed"</formula>
    </cfRule>
    <cfRule type="cellIs" priority="11" operator="equal" dxfId="3">
      <formula>"Reject"</formula>
    </cfRule>
    <cfRule type="cellIs" priority="12" operator="equal" dxfId="3">
      <formula>"Pending"</formula>
    </cfRule>
    <cfRule type="cellIs" priority="13" operator="equal" dxfId="3">
      <formula>"Blocked"</formula>
    </cfRule>
  </conditionalFormatting>
  <dataValidations count="2">
    <dataValidation sqref="H3:H12" showDropDown="0" showInputMessage="0" showErrorMessage="0" allowBlank="1" type="list">
      <formula1>"New,In Progress,Done,Closed,Pending"</formula1>
    </dataValidation>
    <dataValidation sqref="F3:F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8" customWidth="1" min="4" max="4"/>
    <col width="9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26" customWidth="1" min="11" max="11"/>
  </cols>
  <sheetData>
    <row r="1" ht="30" customHeight="1">
      <c r="A1" s="6" t="inlineStr">
        <is>
          <t>No.</t>
        </is>
      </c>
      <c r="B1" s="6" t="inlineStr">
        <is>
          <t>Category</t>
        </is>
      </c>
      <c r="C1" s="6" t="inlineStr">
        <is>
          <t>Task Description</t>
        </is>
      </c>
      <c r="D1" s="6" t="inlineStr">
        <is>
          <t>Definition of Done</t>
        </is>
      </c>
      <c r="E1" s="6" t="inlineStr">
        <is>
          <t>Assignee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PR Link</t>
        </is>
      </c>
      <c r="I1" s="6" t="inlineStr">
        <is>
          <t>Release Date</t>
        </is>
      </c>
      <c r="J1" s="6" t="inlineStr">
        <is>
          <t>Release Result</t>
        </is>
      </c>
      <c r="K1" s="6" t="inlineStr">
        <is>
          <t>Post-release Check</t>
        </is>
      </c>
    </row>
    <row r="2">
      <c r="A2" s="7" t="inlineStr">
        <is>
          <t>1</t>
        </is>
      </c>
      <c r="B2" s="7" t="inlineStr">
        <is>
          <t>Model</t>
        </is>
      </c>
      <c r="C2" s="7" t="inlineStr">
        <is>
          <t>[Sprint 1] Cài transformers/peft(&gt;=0.18)/GradCache; tải checkpoint SigLIP2/ViSigLIP-OT/CLIP</t>
        </is>
      </c>
      <c r="D2" s="7" t="inlineStr">
        <is>
          <t>Smoke-test encode ảnh+text chạy không lỗi trên cả 2 backbone</t>
        </is>
      </c>
      <c r="E2" s="7" t="inlineStr">
        <is>
          <t>Hùng</t>
        </is>
      </c>
      <c r="F2" s="7" t="inlineStr">
        <is>
          <t>High</t>
        </is>
      </c>
      <c r="G2" s="7" t="inlineStr">
        <is>
          <t>Todo</t>
        </is>
      </c>
      <c r="H2" s="7" t="inlineStr"/>
      <c r="I2" s="8" t="n">
        <v>46260</v>
      </c>
      <c r="J2" s="7" t="inlineStr"/>
      <c r="K2" s="7" t="inlineStr"/>
    </row>
    <row r="3">
      <c r="A3" s="7">
        <f>ROW()-1</f>
        <v/>
      </c>
      <c r="B3" s="7" t="inlineStr">
        <is>
          <t>Evaluation</t>
        </is>
      </c>
      <c r="C3" s="7" t="inlineStr">
        <is>
          <t>[Sprint 1] Viết ~50-65 truy vấn phần mình</t>
        </is>
      </c>
      <c r="D3" s="7" t="inlineStr">
        <is>
          <t>Truy vấn tự nhiên, đúng phong cách người mua</t>
        </is>
      </c>
      <c r="E3" s="7" t="inlineStr">
        <is>
          <t>Hùng</t>
        </is>
      </c>
      <c r="F3" s="7" t="inlineStr">
        <is>
          <t>Medium</t>
        </is>
      </c>
      <c r="G3" s="7" t="inlineStr">
        <is>
          <t>Todo</t>
        </is>
      </c>
      <c r="H3" s="7" t="inlineStr"/>
      <c r="I3" s="8" t="n">
        <v>46260</v>
      </c>
      <c r="J3" s="7" t="inlineStr"/>
      <c r="K3" s="7" t="inlineStr"/>
    </row>
    <row r="4">
      <c r="A4" s="7">
        <f>ROW()-1</f>
        <v/>
      </c>
      <c r="B4" s="7" t="inlineStr">
        <is>
          <t>Evaluation</t>
        </is>
      </c>
      <c r="C4" s="7" t="inlineStr">
        <is>
          <t>[Sprint 1] Thiết kế phân tầng truy vấn (đơn/đa thuộc tính, phong cách...)</t>
        </is>
      </c>
      <c r="D4" s="7" t="inlineStr">
        <is>
          <t>Bản thiết kế phân tầng hoàn chỉnh</t>
        </is>
      </c>
      <c r="E4" s="7" t="inlineStr">
        <is>
          <t>Hiếu</t>
        </is>
      </c>
      <c r="F4" s="7" t="inlineStr">
        <is>
          <t>High</t>
        </is>
      </c>
      <c r="G4" s="7" t="inlineStr">
        <is>
          <t>Todo</t>
        </is>
      </c>
      <c r="H4" s="7" t="inlineStr"/>
      <c r="I4" s="8" t="n">
        <v>46260</v>
      </c>
      <c r="J4" s="7" t="inlineStr"/>
      <c r="K4" s="7" t="inlineStr"/>
    </row>
    <row r="5">
      <c r="A5" s="7">
        <f>ROW()-1</f>
        <v/>
      </c>
      <c r="B5" s="7" t="inlineStr">
        <is>
          <t>Evaluation</t>
        </is>
      </c>
      <c r="C5" s="7" t="inlineStr">
        <is>
          <t>[Sprint 1] Viết ~50-65 truy vấn phần mình</t>
        </is>
      </c>
      <c r="D5" s="7" t="inlineStr">
        <is>
          <t>Truy vấn tự nhiên, đúng phong cách người mua</t>
        </is>
      </c>
      <c r="E5" s="7" t="inlineStr">
        <is>
          <t>Hiếu</t>
        </is>
      </c>
      <c r="F5" s="7" t="inlineStr">
        <is>
          <t>Medium</t>
        </is>
      </c>
      <c r="G5" s="7" t="inlineStr">
        <is>
          <t>Todo</t>
        </is>
      </c>
      <c r="H5" s="7" t="inlineStr"/>
      <c r="I5" s="8" t="n">
        <v>46260</v>
      </c>
      <c r="J5" s="7" t="inlineStr"/>
      <c r="K5" s="7" t="inlineStr"/>
    </row>
    <row r="6">
      <c r="A6" s="7">
        <f>ROW()-1</f>
        <v/>
      </c>
      <c r="B6" s="7" t="inlineStr">
        <is>
          <t>Evaluation</t>
        </is>
      </c>
      <c r="C6" s="7" t="inlineStr">
        <is>
          <t>[Sprint 1] Viết công thức Recall@K / MRR / nDCG@10</t>
        </is>
      </c>
      <c r="D6" s="7" t="inlineStr">
        <is>
          <t>Tài liệu tham chiếu chung cho evaluate.py</t>
        </is>
      </c>
      <c r="E6" s="7" t="inlineStr">
        <is>
          <t>Hiếu</t>
        </is>
      </c>
      <c r="F6" s="7" t="inlineStr">
        <is>
          <t>Medium</t>
        </is>
      </c>
      <c r="G6" s="7" t="inlineStr">
        <is>
          <t>Todo</t>
        </is>
      </c>
      <c r="H6" s="7" t="inlineStr"/>
      <c r="I6" s="8" t="n">
        <v>46260</v>
      </c>
      <c r="J6" s="7" t="inlineStr"/>
      <c r="K6" s="7" t="inlineStr"/>
    </row>
    <row r="7">
      <c r="A7" s="7">
        <f>ROW()-1</f>
        <v/>
      </c>
      <c r="B7" s="7" t="inlineStr">
        <is>
          <t>Data</t>
        </is>
      </c>
      <c r="C7" s="7" t="inlineStr">
        <is>
          <t>[Sprint 1] Chọn &amp; tải dataset công khai, kiểm tra license, subsample 20-50k</t>
        </is>
      </c>
      <c r="D7" s="7" t="inlineStr">
        <is>
          <t>Dataset tải xong, đúng license, đúng quy mô</t>
        </is>
      </c>
      <c r="E7" s="7" t="inlineStr">
        <is>
          <t>Hiệp</t>
        </is>
      </c>
      <c r="F7" s="7" t="inlineStr">
        <is>
          <t>High</t>
        </is>
      </c>
      <c r="G7" s="7" t="inlineStr">
        <is>
          <t>Todo</t>
        </is>
      </c>
      <c r="H7" s="7" t="inlineStr"/>
      <c r="I7" s="8" t="n">
        <v>46260</v>
      </c>
      <c r="J7" s="7" t="inlineStr"/>
      <c r="K7" s="7" t="inlineStr"/>
    </row>
    <row r="8">
      <c r="A8" s="7">
        <f>ROW()-1</f>
        <v/>
      </c>
      <c r="B8" s="7" t="inlineStr">
        <is>
          <t>Data</t>
        </is>
      </c>
      <c r="C8" s="7" t="inlineStr">
        <is>
          <t>[Sprint 1] Ánh xạ danh mục gốc sang tiếng Việt</t>
        </is>
      </c>
      <c r="D8" s="7" t="inlineStr">
        <is>
          <t>Bảng mapping danh mục hoàn chỉnh</t>
        </is>
      </c>
      <c r="E8" s="7" t="inlineStr">
        <is>
          <t>Hiệp</t>
        </is>
      </c>
      <c r="F8" s="7" t="inlineStr">
        <is>
          <t>Medium</t>
        </is>
      </c>
      <c r="G8" s="7" t="inlineStr">
        <is>
          <t>Todo</t>
        </is>
      </c>
      <c r="H8" s="7" t="inlineStr"/>
      <c r="I8" s="8" t="n">
        <v>46260</v>
      </c>
      <c r="J8" s="7" t="inlineStr"/>
      <c r="K8" s="7" t="inlineStr"/>
    </row>
    <row r="9">
      <c r="A9" s="7">
        <f>ROW()-1</f>
        <v/>
      </c>
      <c r="B9" s="7" t="inlineStr">
        <is>
          <t>Systems</t>
        </is>
      </c>
      <c r="C9" s="7" t="inlineStr">
        <is>
          <t>[Sprint 1] Dựng repo skeleton + Qdrant docker-compose + FastAPI skeleton + W&amp;B</t>
        </is>
      </c>
      <c r="D9" s="7" t="inlineStr">
        <is>
          <t>Repo chạy được, docker-compose up thành công</t>
        </is>
      </c>
      <c r="E9" s="7" t="inlineStr">
        <is>
          <t>Hiệp</t>
        </is>
      </c>
      <c r="F9" s="7" t="inlineStr">
        <is>
          <t>High</t>
        </is>
      </c>
      <c r="G9" s="7" t="inlineStr">
        <is>
          <t>Todo</t>
        </is>
      </c>
      <c r="H9" s="7" t="inlineStr"/>
      <c r="I9" s="8" t="n">
        <v>46260</v>
      </c>
      <c r="J9" s="7" t="inlineStr"/>
      <c r="K9" s="7" t="inlineStr"/>
    </row>
    <row r="10">
      <c r="A10" s="7">
        <f>ROW()-1</f>
        <v/>
      </c>
      <c r="B10" s="7" t="inlineStr">
        <is>
          <t>Evaluation</t>
        </is>
      </c>
      <c r="C10" s="7" t="inlineStr">
        <is>
          <t>[Sprint 1] Viết ~50-65 truy vấn phần mình</t>
        </is>
      </c>
      <c r="D10" s="7" t="inlineStr">
        <is>
          <t>Truy vấn tự nhiên, đúng phong cách người mua</t>
        </is>
      </c>
      <c r="E10" s="7" t="inlineStr">
        <is>
          <t>Hiệp</t>
        </is>
      </c>
      <c r="F10" s="7" t="inlineStr">
        <is>
          <t>Medium</t>
        </is>
      </c>
      <c r="G10" s="7" t="inlineStr">
        <is>
          <t>Todo</t>
        </is>
      </c>
      <c r="H10" s="7" t="inlineStr"/>
      <c r="I10" s="8" t="n">
        <v>46260</v>
      </c>
      <c r="J10" s="7" t="inlineStr"/>
      <c r="K10" s="7" t="inlineStr"/>
    </row>
    <row r="11">
      <c r="A11" s="7">
        <f>ROW()-1</f>
        <v/>
      </c>
      <c r="B11" s="7" t="inlineStr">
        <is>
          <t>Data</t>
        </is>
      </c>
      <c r="C11" s="7" t="inlineStr">
        <is>
          <t>[Sprint 1] Chốt dataset công khai cụ thể</t>
        </is>
      </c>
      <c r="D11" s="7" t="inlineStr">
        <is>
          <t>Đã chốt dataset, ghi lý do chọn</t>
        </is>
      </c>
      <c r="E11" s="7" t="inlineStr">
        <is>
          <t>Hưng</t>
        </is>
      </c>
      <c r="F11" s="7" t="inlineStr">
        <is>
          <t>High</t>
        </is>
      </c>
      <c r="G11" s="7" t="inlineStr">
        <is>
          <t>Todo</t>
        </is>
      </c>
      <c r="H11" s="7" t="inlineStr"/>
      <c r="I11" s="8" t="n">
        <v>46260</v>
      </c>
      <c r="J11" s="7" t="inlineStr"/>
      <c r="K11" s="7" t="inlineStr"/>
    </row>
    <row r="12">
      <c r="A12" s="7">
        <f>ROW()-1</f>
        <v/>
      </c>
      <c r="B12" s="7" t="inlineStr">
        <is>
          <t>Report</t>
        </is>
      </c>
      <c r="C12" s="7" t="inlineStr">
        <is>
          <t>[Sprint 1] Viết khung báo cáo + Mục 1-2 (bối cảnh, phân tích phương pháp)</t>
        </is>
      </c>
      <c r="D12" s="7" t="inlineStr">
        <is>
          <t>Draft Mục 1-2 hoàn chỉnh</t>
        </is>
      </c>
      <c r="E12" s="7" t="inlineStr">
        <is>
          <t>Hưng</t>
        </is>
      </c>
      <c r="F12" s="7" t="inlineStr">
        <is>
          <t>Medium</t>
        </is>
      </c>
      <c r="G12" s="7" t="inlineStr">
        <is>
          <t>Todo</t>
        </is>
      </c>
      <c r="H12" s="7" t="inlineStr"/>
      <c r="I12" s="8" t="n">
        <v>46260</v>
      </c>
      <c r="J12" s="7" t="inlineStr"/>
      <c r="K12" s="7" t="inlineStr"/>
    </row>
    <row r="13">
      <c r="A13" s="7">
        <f>ROW()-1</f>
        <v/>
      </c>
      <c r="B13" s="7" t="inlineStr">
        <is>
          <t>Model</t>
        </is>
      </c>
      <c r="C13" s="7" t="inlineStr">
        <is>
          <t>[Sprint 2] Baseline CLIP ViT-B/32 zero-shot</t>
        </is>
      </c>
      <c r="D13" s="7" t="inlineStr">
        <is>
          <t>Có số Recall@1/5/10, MRR, nDCG@10</t>
        </is>
      </c>
      <c r="E13" s="7" t="inlineStr">
        <is>
          <t>Hùng</t>
        </is>
      </c>
      <c r="F13" s="7" t="inlineStr">
        <is>
          <t>High</t>
        </is>
      </c>
      <c r="G13" s="7" t="inlineStr">
        <is>
          <t>Todo</t>
        </is>
      </c>
      <c r="H13" s="7" t="inlineStr"/>
      <c r="I13" s="8" t="n">
        <v>46267</v>
      </c>
      <c r="J13" s="7" t="inlineStr"/>
      <c r="K13" s="7" t="inlineStr"/>
    </row>
    <row r="14">
      <c r="A14" s="7">
        <f>ROW()-1</f>
        <v/>
      </c>
      <c r="B14" s="7" t="inlineStr">
        <is>
          <t>Model</t>
        </is>
      </c>
      <c r="C14" s="7" t="inlineStr">
        <is>
          <t>[Sprint 2] Baseline SigLIP 2 zero-shot (tiếng Việt trực tiếp)</t>
        </is>
      </c>
      <c r="D14" s="7" t="inlineStr">
        <is>
          <t>Có số liệu đầy đủ</t>
        </is>
      </c>
      <c r="E14" s="7" t="inlineStr">
        <is>
          <t>Hùng</t>
        </is>
      </c>
      <c r="F14" s="7" t="inlineStr">
        <is>
          <t>High</t>
        </is>
      </c>
      <c r="G14" s="7" t="inlineStr">
        <is>
          <t>Todo</t>
        </is>
      </c>
      <c r="H14" s="7" t="inlineStr"/>
      <c r="I14" s="8" t="n">
        <v>46267</v>
      </c>
      <c r="J14" s="7" t="inlineStr"/>
      <c r="K14" s="7" t="inlineStr"/>
    </row>
    <row r="15">
      <c r="A15" s="7">
        <f>ROW()-1</f>
        <v/>
      </c>
      <c r="B15" s="7" t="inlineStr">
        <is>
          <t>Model</t>
        </is>
      </c>
      <c r="C15" s="7" t="inlineStr">
        <is>
          <t>[Sprint 2] Baseline SigLIP 2 zero-shot + dịch máy Việt-&gt;Anh</t>
        </is>
      </c>
      <c r="D15" s="7" t="inlineStr">
        <is>
          <t>Có số liệu đầy đủ</t>
        </is>
      </c>
      <c r="E15" s="7" t="inlineStr">
        <is>
          <t>Hùng</t>
        </is>
      </c>
      <c r="F15" s="7" t="inlineStr">
        <is>
          <t>High</t>
        </is>
      </c>
      <c r="G15" s="7" t="inlineStr">
        <is>
          <t>Todo</t>
        </is>
      </c>
      <c r="H15" s="7" t="inlineStr"/>
      <c r="I15" s="8" t="n">
        <v>46267</v>
      </c>
      <c r="J15" s="7" t="inlineStr"/>
      <c r="K15" s="7" t="inlineStr"/>
    </row>
    <row r="16">
      <c r="A16" s="7">
        <f>ROW()-1</f>
        <v/>
      </c>
      <c r="B16" s="7" t="inlineStr">
        <is>
          <t>Model</t>
        </is>
      </c>
      <c r="C16" s="7" t="inlineStr">
        <is>
          <t>[Sprint 2] Baseline ViSigLIP-OT zero-shot (bản ngữ tiếng Việt)</t>
        </is>
      </c>
      <c r="D16" s="7" t="inlineStr">
        <is>
          <t>Có số liệu đầy đủ</t>
        </is>
      </c>
      <c r="E16" s="7" t="inlineStr">
        <is>
          <t>Hùng</t>
        </is>
      </c>
      <c r="F16" s="7" t="inlineStr">
        <is>
          <t>High</t>
        </is>
      </c>
      <c r="G16" s="7" t="inlineStr">
        <is>
          <t>Todo</t>
        </is>
      </c>
      <c r="H16" s="7" t="inlineStr"/>
      <c r="I16" s="8" t="n">
        <v>46267</v>
      </c>
      <c r="J16" s="7" t="inlineStr"/>
      <c r="K16" s="7" t="inlineStr"/>
    </row>
    <row r="17">
      <c r="A17" s="7">
        <f>ROW()-1</f>
        <v/>
      </c>
      <c r="B17" s="7" t="inlineStr">
        <is>
          <t>Evaluation</t>
        </is>
      </c>
      <c r="C17" s="7" t="inlineStr">
        <is>
          <t>[Sprint 2] Gộp &amp; hoàn tất 150-200 truy vấn -&gt; queries.json</t>
        </is>
      </c>
      <c r="D17" s="7" t="inlineStr">
        <is>
          <t>Đủ số lượng + đủ phân tầng, gộp từ cả 3 người</t>
        </is>
      </c>
      <c r="E17" s="7" t="inlineStr">
        <is>
          <t>Hiếu</t>
        </is>
      </c>
      <c r="F17" s="7" t="inlineStr">
        <is>
          <t>High</t>
        </is>
      </c>
      <c r="G17" s="7" t="inlineStr">
        <is>
          <t>Todo</t>
        </is>
      </c>
      <c r="H17" s="7" t="inlineStr"/>
      <c r="I17" s="8" t="n">
        <v>46267</v>
      </c>
      <c r="J17" s="7" t="inlineStr"/>
      <c r="K17" s="7" t="inlineStr"/>
    </row>
    <row r="18">
      <c r="A18" s="7">
        <f>ROW()-1</f>
        <v/>
      </c>
      <c r="B18" s="7" t="inlineStr">
        <is>
          <t>Evaluation</t>
        </is>
      </c>
      <c r="C18" s="7" t="inlineStr">
        <is>
          <t>[Sprint 2] Cài evaluate.py (Recall/MRR/nDCG)</t>
        </is>
      </c>
      <c r="D18" s="7" t="inlineStr">
        <is>
          <t>Chạy được trên dữ liệu mẫu, không lỗi</t>
        </is>
      </c>
      <c r="E18" s="7" t="inlineStr">
        <is>
          <t>Hiếu</t>
        </is>
      </c>
      <c r="F18" s="7" t="inlineStr">
        <is>
          <t>High</t>
        </is>
      </c>
      <c r="G18" s="7" t="inlineStr">
        <is>
          <t>Todo</t>
        </is>
      </c>
      <c r="H18" s="7" t="inlineStr"/>
      <c r="I18" s="8" t="n">
        <v>46267</v>
      </c>
      <c r="J18" s="7" t="inlineStr"/>
      <c r="K18" s="7" t="inlineStr"/>
    </row>
    <row r="19">
      <c r="A19" s="7">
        <f>ROW()-1</f>
        <v/>
      </c>
      <c r="B19" s="7" t="inlineStr">
        <is>
          <t>Evaluation</t>
        </is>
      </c>
      <c r="C19" s="7" t="inlineStr">
        <is>
          <t>[Sprint 2] Baseline BM25 trên tên + mô tả</t>
        </is>
      </c>
      <c r="D19" s="7" t="inlineStr">
        <is>
          <t>Có số liệu</t>
        </is>
      </c>
      <c r="E19" s="7" t="inlineStr">
        <is>
          <t>Hiếu</t>
        </is>
      </c>
      <c r="F19" s="7" t="inlineStr">
        <is>
          <t>Medium</t>
        </is>
      </c>
      <c r="G19" s="7" t="inlineStr">
        <is>
          <t>Todo</t>
        </is>
      </c>
      <c r="H19" s="7" t="inlineStr"/>
      <c r="I19" s="8" t="n">
        <v>46267</v>
      </c>
      <c r="J19" s="7" t="inlineStr"/>
      <c r="K19" s="7" t="inlineStr"/>
    </row>
    <row r="20">
      <c r="A20" s="7">
        <f>ROW()-1</f>
        <v/>
      </c>
      <c r="B20" s="7" t="inlineStr">
        <is>
          <t>Data</t>
        </is>
      </c>
      <c r="C20" s="7" t="inlineStr">
        <is>
          <t>[Sprint 2] Làm sạch dataset (dedup perceptual hash, lọc danh mục)</t>
        </is>
      </c>
      <c r="D20" s="7" t="inlineStr">
        <is>
          <t>Dataset sạch, không còn ảnh lỗi/trùng</t>
        </is>
      </c>
      <c r="E20" s="7" t="inlineStr">
        <is>
          <t>Hiệp</t>
        </is>
      </c>
      <c r="F20" s="7" t="inlineStr">
        <is>
          <t>High</t>
        </is>
      </c>
      <c r="G20" s="7" t="inlineStr">
        <is>
          <t>Todo</t>
        </is>
      </c>
      <c r="H20" s="7" t="inlineStr"/>
      <c r="I20" s="8" t="n">
        <v>46267</v>
      </c>
      <c r="J20" s="7" t="inlineStr"/>
      <c r="K20" s="7" t="inlineStr"/>
    </row>
    <row r="21">
      <c r="A21" s="7">
        <f>ROW()-1</f>
        <v/>
      </c>
      <c r="B21" s="7" t="inlineStr">
        <is>
          <t>Data</t>
        </is>
      </c>
      <c r="C21" s="7" t="inlineStr">
        <is>
          <t>[Sprint 2] Dùng split chính thức hoặc tự chia 70/15/15 theo sản phẩm + thống kê phân bố + gắn cờ danh mục 0 mẫu</t>
        </is>
      </c>
      <c r="D21" s="7" t="inlineStr">
        <is>
          <t>Báo cáo thống kê + danh sách danh mục 0 mẫu</t>
        </is>
      </c>
      <c r="E21" s="7" t="inlineStr">
        <is>
          <t>Hiệp</t>
        </is>
      </c>
      <c r="F21" s="7" t="inlineStr">
        <is>
          <t>High</t>
        </is>
      </c>
      <c r="G21" s="7" t="inlineStr">
        <is>
          <t>Todo</t>
        </is>
      </c>
      <c r="H21" s="7" t="inlineStr"/>
      <c r="I21" s="8" t="n">
        <v>46267</v>
      </c>
      <c r="J21" s="7" t="inlineStr"/>
      <c r="K21" s="7" t="inlineStr"/>
    </row>
    <row r="22">
      <c r="A22" s="7">
        <f>ROW()-1</f>
        <v/>
      </c>
      <c r="B22" s="7" t="inlineStr">
        <is>
          <t>Systems</t>
        </is>
      </c>
      <c r="C22" s="7" t="inlineStr">
        <is>
          <t>[Sprint 2] Index toàn bộ dataset vào Qdrant (HNSW + metadata)</t>
        </is>
      </c>
      <c r="D22" s="7" t="inlineStr">
        <is>
          <t>Truy vấn thử trả kết quả đúng</t>
        </is>
      </c>
      <c r="E22" s="7" t="inlineStr">
        <is>
          <t>Hiệp</t>
        </is>
      </c>
      <c r="F22" s="7" t="inlineStr">
        <is>
          <t>High</t>
        </is>
      </c>
      <c r="G22" s="7" t="inlineStr">
        <is>
          <t>Todo</t>
        </is>
      </c>
      <c r="H22" s="7" t="inlineStr"/>
      <c r="I22" s="8" t="n">
        <v>46267</v>
      </c>
      <c r="J22" s="7" t="inlineStr"/>
      <c r="K22" s="7" t="inlineStr"/>
    </row>
    <row r="23">
      <c r="A23" s="7">
        <f>ROW()-1</f>
        <v/>
      </c>
      <c r="B23" s="7" t="inlineStr">
        <is>
          <t>Model</t>
        </is>
      </c>
      <c r="C23" s="7" t="inlineStr">
        <is>
          <t>[Sprint 2] Baseline ResNet-50 + KNN cosine</t>
        </is>
      </c>
      <c r="D23" s="7" t="inlineStr">
        <is>
          <t>Có số liệu</t>
        </is>
      </c>
      <c r="E23" s="7" t="inlineStr">
        <is>
          <t>Hiệp</t>
        </is>
      </c>
      <c r="F23" s="7" t="inlineStr">
        <is>
          <t>Medium</t>
        </is>
      </c>
      <c r="G23" s="7" t="inlineStr">
        <is>
          <t>Todo</t>
        </is>
      </c>
      <c r="H23" s="7" t="inlineStr"/>
      <c r="I23" s="8" t="n">
        <v>46267</v>
      </c>
      <c r="J23" s="7" t="inlineStr"/>
      <c r="K23" s="7" t="inlineStr"/>
    </row>
    <row r="24">
      <c r="A24" s="7">
        <f>ROW()-1</f>
        <v/>
      </c>
      <c r="B24" s="7" t="inlineStr">
        <is>
          <t>Report</t>
        </is>
      </c>
      <c r="C24" s="7" t="inlineStr">
        <is>
          <t>[Sprint 2] Viết Mục 3.1-3.2 báo cáo (kiến trúc tổng thể, dữ liệu)</t>
        </is>
      </c>
      <c r="D24" s="7" t="inlineStr">
        <is>
          <t>Draft Mục 3.1-3.2 hoàn chỉnh, dựa trên số liệu Hiệp</t>
        </is>
      </c>
      <c r="E24" s="7" t="inlineStr">
        <is>
          <t>Hưng</t>
        </is>
      </c>
      <c r="F24" s="7" t="inlineStr">
        <is>
          <t>Medium</t>
        </is>
      </c>
      <c r="G24" s="7" t="inlineStr">
        <is>
          <t>Todo</t>
        </is>
      </c>
      <c r="H24" s="7" t="inlineStr"/>
      <c r="I24" s="8" t="n">
        <v>46267</v>
      </c>
      <c r="J24" s="7" t="inlineStr"/>
      <c r="K24" s="7" t="inlineStr"/>
    </row>
    <row r="25">
      <c r="A25" s="7">
        <f>ROW()-1</f>
        <v/>
      </c>
      <c r="B25" s="7" t="inlineStr">
        <is>
          <t>Model</t>
        </is>
      </c>
      <c r="C25" s="7" t="inlineStr">
        <is>
          <t>[Sprint 3] Hoàn thiện pipeline zero-shot đầu-cuối (SigLIP 2 + ViSigLIP-OT) qua Qdrant</t>
        </is>
      </c>
      <c r="D25" s="7" t="inlineStr">
        <is>
          <t>Text-&gt;ảnh và ảnh-&gt;ảnh chạy được thật</t>
        </is>
      </c>
      <c r="E25" s="7" t="inlineStr">
        <is>
          <t>Hùng</t>
        </is>
      </c>
      <c r="F25" s="7" t="inlineStr">
        <is>
          <t>High</t>
        </is>
      </c>
      <c r="G25" s="7" t="inlineStr">
        <is>
          <t>Todo</t>
        </is>
      </c>
      <c r="H25" s="7" t="inlineStr"/>
      <c r="I25" s="8" t="n">
        <v>46274</v>
      </c>
      <c r="J25" s="7" t="inlineStr"/>
      <c r="K25" s="7" t="inlineStr"/>
    </row>
    <row r="26">
      <c r="A26" s="7">
        <f>ROW()-1</f>
        <v/>
      </c>
      <c r="B26" s="7" t="inlineStr">
        <is>
          <t>Model</t>
        </is>
      </c>
      <c r="C26" s="7" t="inlineStr">
        <is>
          <t>[Sprint 3] Cài LoRA + DoRA (use_dora=True) + sigmoid pairwise loss + GradCache</t>
        </is>
      </c>
      <c r="D26" s="7" t="inlineStr">
        <is>
          <t>Config train chạy không lỗi, log loss hợp lý</t>
        </is>
      </c>
      <c r="E26" s="7" t="inlineStr">
        <is>
          <t>Hùng</t>
        </is>
      </c>
      <c r="F26" s="7" t="inlineStr">
        <is>
          <t>High</t>
        </is>
      </c>
      <c r="G26" s="7" t="inlineStr">
        <is>
          <t>Todo</t>
        </is>
      </c>
      <c r="H26" s="7" t="inlineStr"/>
      <c r="I26" s="8" t="n">
        <v>46274</v>
      </c>
      <c r="J26" s="7" t="inlineStr"/>
      <c r="K26" s="7" t="inlineStr"/>
    </row>
    <row r="27">
      <c r="A27" s="7">
        <f>ROW()-1</f>
        <v/>
      </c>
      <c r="B27" s="7" t="inlineStr">
        <is>
          <t>Model</t>
        </is>
      </c>
      <c r="C27" s="7" t="inlineStr">
        <is>
          <t>[Sprint 3] Bắt đầu fine-tune vòng 1</t>
        </is>
      </c>
      <c r="D27" s="7" t="inlineStr">
        <is>
          <t>Training loop chạy ổn định, log lên W&amp;B</t>
        </is>
      </c>
      <c r="E27" s="7" t="inlineStr">
        <is>
          <t>Hùng</t>
        </is>
      </c>
      <c r="F27" s="7" t="inlineStr">
        <is>
          <t>High</t>
        </is>
      </c>
      <c r="G27" s="7" t="inlineStr">
        <is>
          <t>Todo</t>
        </is>
      </c>
      <c r="H27" s="7" t="inlineStr"/>
      <c r="I27" s="8" t="n">
        <v>46274</v>
      </c>
      <c r="J27" s="7" t="inlineStr"/>
      <c r="K27" s="7" t="inlineStr"/>
    </row>
    <row r="28">
      <c r="A28" s="7">
        <f>ROW()-1</f>
        <v/>
      </c>
      <c r="B28" s="7" t="inlineStr">
        <is>
          <t>Evaluation</t>
        </is>
      </c>
      <c r="C28" s="7" t="inlineStr">
        <is>
          <t>[Sprint 3] Tham gia chấm nhãn (xoay vòng 2/3 người mỗi kết quả)</t>
        </is>
      </c>
      <c r="D28" s="7" t="inlineStr">
        <is>
          <t>Hoàn thành phần truy vấn được giao</t>
        </is>
      </c>
      <c r="E28" s="7" t="inlineStr">
        <is>
          <t>Hùng</t>
        </is>
      </c>
      <c r="F28" s="7" t="inlineStr">
        <is>
          <t>Medium</t>
        </is>
      </c>
      <c r="G28" s="7" t="inlineStr">
        <is>
          <t>Todo</t>
        </is>
      </c>
      <c r="H28" s="7" t="inlineStr"/>
      <c r="I28" s="8" t="n">
        <v>46274</v>
      </c>
      <c r="J28" s="7" t="inlineStr"/>
      <c r="K28" s="7" t="inlineStr"/>
    </row>
    <row r="29">
      <c r="A29" s="7">
        <f>ROW()-1</f>
        <v/>
      </c>
      <c r="B29" s="7" t="inlineStr">
        <is>
          <t>Evaluation</t>
        </is>
      </c>
      <c r="C29" s="7" t="inlineStr">
        <is>
          <t>[Sprint 3] Điều phối chấm nhãn (top-20 pooling, 2 người/kết quả)</t>
        </is>
      </c>
      <c r="D29" s="7" t="inlineStr">
        <is>
          <t>relevance.json đầy đủ cho toàn bộ truy vấn x hệ thống</t>
        </is>
      </c>
      <c r="E29" s="7" t="inlineStr">
        <is>
          <t>Hiếu</t>
        </is>
      </c>
      <c r="F29" s="7" t="inlineStr">
        <is>
          <t>High</t>
        </is>
      </c>
      <c r="G29" s="7" t="inlineStr">
        <is>
          <t>Todo</t>
        </is>
      </c>
      <c r="H29" s="7" t="inlineStr"/>
      <c r="I29" s="8" t="n">
        <v>46274</v>
      </c>
      <c r="J29" s="7" t="inlineStr"/>
      <c r="K29" s="7" t="inlineStr"/>
    </row>
    <row r="30">
      <c r="A30" s="7">
        <f>ROW()-1</f>
        <v/>
      </c>
      <c r="B30" s="7" t="inlineStr">
        <is>
          <t>Evaluation</t>
        </is>
      </c>
      <c r="C30" s="7" t="inlineStr">
        <is>
          <t>[Sprint 3] Tính Cohen's kappa, xử lý ca lệch</t>
        </is>
      </c>
      <c r="D30" s="7" t="inlineStr">
        <is>
          <t>Có số kappa báo cáo được, ca lệch đã thống nhất</t>
        </is>
      </c>
      <c r="E30" s="7" t="inlineStr">
        <is>
          <t>Hiếu</t>
        </is>
      </c>
      <c r="F30" s="7" t="inlineStr">
        <is>
          <t>High</t>
        </is>
      </c>
      <c r="G30" s="7" t="inlineStr">
        <is>
          <t>Todo</t>
        </is>
      </c>
      <c r="H30" s="7" t="inlineStr"/>
      <c r="I30" s="8" t="n">
        <v>46274</v>
      </c>
      <c r="J30" s="7" t="inlineStr"/>
      <c r="K30" s="7" t="inlineStr"/>
    </row>
    <row r="31">
      <c r="A31" s="7">
        <f>ROW()-1</f>
        <v/>
      </c>
      <c r="B31" s="7" t="inlineStr">
        <is>
          <t>Data</t>
        </is>
      </c>
      <c r="C31" s="7" t="inlineStr">
        <is>
          <t>[Sprint 3] Viết script hard-negative mining (cùng danh mục, khác màu/kiểu)</t>
        </is>
      </c>
      <c r="D31" s="7" t="inlineStr">
        <is>
          <t>Script sinh mẫu âm khó chạy được</t>
        </is>
      </c>
      <c r="E31" s="7" t="inlineStr">
        <is>
          <t>Hiệp</t>
        </is>
      </c>
      <c r="F31" s="7" t="inlineStr">
        <is>
          <t>High</t>
        </is>
      </c>
      <c r="G31" s="7" t="inlineStr">
        <is>
          <t>Todo</t>
        </is>
      </c>
      <c r="H31" s="7" t="inlineStr"/>
      <c r="I31" s="8" t="n">
        <v>46274</v>
      </c>
      <c r="J31" s="7" t="inlineStr"/>
      <c r="K31" s="7" t="inlineStr"/>
    </row>
    <row r="32">
      <c r="A32" s="7">
        <f>ROW()-1</f>
        <v/>
      </c>
      <c r="B32" s="7" t="inlineStr">
        <is>
          <t>Systems</t>
        </is>
      </c>
      <c r="C32" s="7" t="inlineStr">
        <is>
          <t>[Sprint 3] Khung log huấn luyện (W&amp;B + experiments/runs.csv)</t>
        </is>
      </c>
      <c r="D32" s="7" t="inlineStr">
        <is>
          <t>Mỗi lần train tự log đủ cột quy định</t>
        </is>
      </c>
      <c r="E32" s="7" t="inlineStr">
        <is>
          <t>Hiệp</t>
        </is>
      </c>
      <c r="F32" s="7" t="inlineStr">
        <is>
          <t>Medium</t>
        </is>
      </c>
      <c r="G32" s="7" t="inlineStr">
        <is>
          <t>Todo</t>
        </is>
      </c>
      <c r="H32" s="7" t="inlineStr"/>
      <c r="I32" s="8" t="n">
        <v>46274</v>
      </c>
      <c r="J32" s="7" t="inlineStr"/>
      <c r="K32" s="7" t="inlineStr"/>
    </row>
    <row r="33">
      <c r="A33" s="7">
        <f>ROW()-1</f>
        <v/>
      </c>
      <c r="B33" s="7" t="inlineStr">
        <is>
          <t>Evaluation</t>
        </is>
      </c>
      <c r="C33" s="7" t="inlineStr">
        <is>
          <t>[Sprint 3] Tham gia chấm nhãn (xoay vòng 2/3 người mỗi kết quả)</t>
        </is>
      </c>
      <c r="D33" s="7" t="inlineStr">
        <is>
          <t>Hoàn thành phần truy vấn được giao</t>
        </is>
      </c>
      <c r="E33" s="7" t="inlineStr">
        <is>
          <t>Hiệp</t>
        </is>
      </c>
      <c r="F33" s="7" t="inlineStr">
        <is>
          <t>Medium</t>
        </is>
      </c>
      <c r="G33" s="7" t="inlineStr">
        <is>
          <t>Todo</t>
        </is>
      </c>
      <c r="H33" s="7" t="inlineStr"/>
      <c r="I33" s="8" t="n">
        <v>46274</v>
      </c>
      <c r="J33" s="7" t="inlineStr"/>
      <c r="K33" s="7" t="inlineStr"/>
    </row>
    <row r="34">
      <c r="A34" s="7">
        <f>ROW()-1</f>
        <v/>
      </c>
      <c r="B34" s="7" t="inlineStr">
        <is>
          <t>Report</t>
        </is>
      </c>
      <c r="C34" s="7" t="inlineStr">
        <is>
          <t>[Sprint 3] Viết Mục 3.3-3.4 báo cáo (thiết kế mô hình, thiết kế đánh giá)</t>
        </is>
      </c>
      <c r="D34" s="7" t="inlineStr">
        <is>
          <t>Draft Mục 3.3-3.4 hoàn chỉnh, dựa trên input Hùng/Hiếu</t>
        </is>
      </c>
      <c r="E34" s="7" t="inlineStr">
        <is>
          <t>Hưng</t>
        </is>
      </c>
      <c r="F34" s="7" t="inlineStr">
        <is>
          <t>Medium</t>
        </is>
      </c>
      <c r="G34" s="7" t="inlineStr">
        <is>
          <t>Todo</t>
        </is>
      </c>
      <c r="H34" s="7" t="inlineStr"/>
      <c r="I34" s="8" t="n">
        <v>46274</v>
      </c>
      <c r="J34" s="7" t="inlineStr"/>
      <c r="K34" s="7" t="inlineStr"/>
    </row>
    <row r="35">
      <c r="A35" s="7">
        <f>ROW()-1</f>
        <v/>
      </c>
      <c r="B35" s="7" t="inlineStr">
        <is>
          <t>Model</t>
        </is>
      </c>
      <c r="C35" s="7" t="inlineStr">
        <is>
          <t>[Sprint 4] Hoàn tất fine-tune, chọn checkpoint theo Recall@5 val</t>
        </is>
      </c>
      <c r="D35" s="7" t="inlineStr">
        <is>
          <t>Checkpoint tốt nhất đã lưu + log đầy đủ</t>
        </is>
      </c>
      <c r="E35" s="7" t="inlineStr">
        <is>
          <t>Hùng</t>
        </is>
      </c>
      <c r="F35" s="7" t="inlineStr">
        <is>
          <t>High</t>
        </is>
      </c>
      <c r="G35" s="7" t="inlineStr">
        <is>
          <t>Todo</t>
        </is>
      </c>
      <c r="H35" s="7" t="inlineStr"/>
      <c r="I35" s="8" t="n">
        <v>46281</v>
      </c>
      <c r="J35" s="7" t="inlineStr"/>
      <c r="K35" s="7" t="inlineStr"/>
    </row>
    <row r="36">
      <c r="A36" s="7">
        <f>ROW()-1</f>
        <v/>
      </c>
      <c r="B36" s="7" t="inlineStr">
        <is>
          <t>Model</t>
        </is>
      </c>
      <c r="C36" s="7" t="inlineStr">
        <is>
          <t>[Sprint 4] Ablation #1 (ưu tiên 1): DoRA vs LoRA thường</t>
        </is>
      </c>
      <c r="D36" s="7" t="inlineStr">
        <is>
          <t>Bảng kết quả so sánh</t>
        </is>
      </c>
      <c r="E36" s="7" t="inlineStr">
        <is>
          <t>Hùng</t>
        </is>
      </c>
      <c r="F36" s="7" t="inlineStr">
        <is>
          <t>High</t>
        </is>
      </c>
      <c r="G36" s="7" t="inlineStr">
        <is>
          <t>Todo</t>
        </is>
      </c>
      <c r="H36" s="7" t="inlineStr"/>
      <c r="I36" s="8" t="n">
        <v>46281</v>
      </c>
      <c r="J36" s="7" t="inlineStr"/>
      <c r="K36" s="7" t="inlineStr"/>
    </row>
    <row r="37">
      <c r="A37" s="7">
        <f>ROW()-1</f>
        <v/>
      </c>
      <c r="B37" s="7" t="inlineStr">
        <is>
          <t>Model</t>
        </is>
      </c>
      <c r="C37" s="7" t="inlineStr">
        <is>
          <t>[Sprint 4] Ablation #2 (ưu tiên 2): Hard negative mining có/không</t>
        </is>
      </c>
      <c r="D37" s="7" t="inlineStr">
        <is>
          <t>Bảng kết quả so sánh</t>
        </is>
      </c>
      <c r="E37" s="7" t="inlineStr">
        <is>
          <t>Hùng</t>
        </is>
      </c>
      <c r="F37" s="7" t="inlineStr">
        <is>
          <t>High</t>
        </is>
      </c>
      <c r="G37" s="7" t="inlineStr">
        <is>
          <t>Todo</t>
        </is>
      </c>
      <c r="H37" s="7" t="inlineStr"/>
      <c r="I37" s="8" t="n">
        <v>46281</v>
      </c>
      <c r="J37" s="7" t="inlineStr"/>
      <c r="K37" s="7" t="inlineStr"/>
    </row>
    <row r="38">
      <c r="A38" s="7">
        <f>ROW()-1</f>
        <v/>
      </c>
      <c r="B38" s="7" t="inlineStr">
        <is>
          <t>Model</t>
        </is>
      </c>
      <c r="C38" s="7" t="inlineStr">
        <is>
          <t>[Sprint 4] Ablation #3 (ưu tiên 3): SigLIP 2 vs ViSigLIP-OT</t>
        </is>
      </c>
      <c r="D38" s="7" t="inlineStr">
        <is>
          <t>Bảng kết quả so sánh</t>
        </is>
      </c>
      <c r="E38" s="7" t="inlineStr">
        <is>
          <t>Hùng</t>
        </is>
      </c>
      <c r="F38" s="7" t="inlineStr">
        <is>
          <t>High</t>
        </is>
      </c>
      <c r="G38" s="7" t="inlineStr">
        <is>
          <t>Todo</t>
        </is>
      </c>
      <c r="H38" s="7" t="inlineStr"/>
      <c r="I38" s="8" t="n">
        <v>46281</v>
      </c>
      <c r="J38" s="7" t="inlineStr"/>
      <c r="K38" s="7" t="inlineStr"/>
    </row>
    <row r="39">
      <c r="A39" s="7">
        <f>ROW()-1</f>
        <v/>
      </c>
      <c r="B39" s="7" t="inlineStr">
        <is>
          <t>Model</t>
        </is>
      </c>
      <c r="C39" s="7" t="inlineStr">
        <is>
          <t>[Sprint 4] Ablation #4 (ưu tiên 4): LoRA rank {4,8,16}</t>
        </is>
      </c>
      <c r="D39" s="7" t="inlineStr">
        <is>
          <t>Bảng kết quả (chạy nếu còn giờ máy)</t>
        </is>
      </c>
      <c r="E39" s="7" t="inlineStr">
        <is>
          <t>Hùng</t>
        </is>
      </c>
      <c r="F39" s="7" t="inlineStr">
        <is>
          <t>Medium</t>
        </is>
      </c>
      <c r="G39" s="7" t="inlineStr">
        <is>
          <t>Todo</t>
        </is>
      </c>
      <c r="H39" s="7" t="inlineStr"/>
      <c r="I39" s="8" t="n">
        <v>46281</v>
      </c>
      <c r="J39" s="7" t="inlineStr"/>
      <c r="K39" s="7" t="inlineStr"/>
    </row>
    <row r="40">
      <c r="A40" s="7">
        <f>ROW()-1</f>
        <v/>
      </c>
      <c r="B40" s="7" t="inlineStr">
        <is>
          <t>Model</t>
        </is>
      </c>
      <c r="C40" s="7" t="inlineStr">
        <is>
          <t>[Sprint 4] Ablation #5 (ưu tiên 5): Batch hiệu dụng {32,128,256}</t>
        </is>
      </c>
      <c r="D40" s="7" t="inlineStr">
        <is>
          <t>Bảng kết quả (chạy nếu còn giờ máy)</t>
        </is>
      </c>
      <c r="E40" s="7" t="inlineStr">
        <is>
          <t>Hùng</t>
        </is>
      </c>
      <c r="F40" s="7" t="inlineStr">
        <is>
          <t>Medium</t>
        </is>
      </c>
      <c r="G40" s="7" t="inlineStr">
        <is>
          <t>Todo</t>
        </is>
      </c>
      <c r="H40" s="7" t="inlineStr"/>
      <c r="I40" s="8" t="n">
        <v>46281</v>
      </c>
      <c r="J40" s="7" t="inlineStr"/>
      <c r="K40" s="7" t="inlineStr"/>
    </row>
    <row r="41">
      <c r="A41" s="7">
        <f>ROW()-1</f>
        <v/>
      </c>
      <c r="B41" s="7" t="inlineStr">
        <is>
          <t>Model</t>
        </is>
      </c>
      <c r="C41" s="7" t="inlineStr">
        <is>
          <t>[Sprint 4] Ablation #6 (ưu tiên 6): Adapter ảnh-only / text-only / cả hai</t>
        </is>
      </c>
      <c r="D41" s="7" t="inlineStr">
        <is>
          <t>Bảng kết quả (chạy nếu còn giờ máy)</t>
        </is>
      </c>
      <c r="E41" s="7" t="inlineStr">
        <is>
          <t>Hùng</t>
        </is>
      </c>
      <c r="F41" s="7" t="inlineStr">
        <is>
          <t>Low</t>
        </is>
      </c>
      <c r="G41" s="7" t="inlineStr">
        <is>
          <t>Todo</t>
        </is>
      </c>
      <c r="H41" s="7" t="inlineStr"/>
      <c r="I41" s="8" t="n">
        <v>46281</v>
      </c>
      <c r="J41" s="7" t="inlineStr"/>
      <c r="K41" s="7" t="inlineStr"/>
    </row>
    <row r="42">
      <c r="A42" s="7">
        <f>ROW()-1</f>
        <v/>
      </c>
      <c r="B42" s="7" t="inlineStr">
        <is>
          <t>Model</t>
        </is>
      </c>
      <c r="C42" s="7" t="inlineStr">
        <is>
          <t>[Sprint 4] Ablation #7 (ưu tiên 7): SigLIP 1 vs SigLIP 2</t>
        </is>
      </c>
      <c r="D42" s="7" t="inlineStr">
        <is>
          <t>Bảng kết quả (chạy nếu còn giờ máy)</t>
        </is>
      </c>
      <c r="E42" s="7" t="inlineStr">
        <is>
          <t>Hùng</t>
        </is>
      </c>
      <c r="F42" s="7" t="inlineStr">
        <is>
          <t>Low</t>
        </is>
      </c>
      <c r="G42" s="7" t="inlineStr">
        <is>
          <t>Todo</t>
        </is>
      </c>
      <c r="H42" s="7" t="inlineStr"/>
      <c r="I42" s="8" t="n">
        <v>46281</v>
      </c>
      <c r="J42" s="7" t="inlineStr"/>
      <c r="K42" s="7" t="inlineStr"/>
    </row>
    <row r="43">
      <c r="A43" s="7">
        <f>ROW()-1</f>
        <v/>
      </c>
      <c r="B43" s="7" t="inlineStr">
        <is>
          <t>Evaluation</t>
        </is>
      </c>
      <c r="C43" s="7" t="inlineStr">
        <is>
          <t>[Sprint 4] Đánh giá checkpoint fine-tune so với 6 hệ thống zero-shot</t>
        </is>
      </c>
      <c r="D43" s="7" t="inlineStr">
        <is>
          <t>Bảng so sánh đầy đủ Recall/MRR/nDCG</t>
        </is>
      </c>
      <c r="E43" s="7" t="inlineStr">
        <is>
          <t>Hiếu</t>
        </is>
      </c>
      <c r="F43" s="7" t="inlineStr">
        <is>
          <t>High</t>
        </is>
      </c>
      <c r="G43" s="7" t="inlineStr">
        <is>
          <t>Todo</t>
        </is>
      </c>
      <c r="H43" s="7" t="inlineStr"/>
      <c r="I43" s="8" t="n">
        <v>46281</v>
      </c>
      <c r="J43" s="7" t="inlineStr"/>
      <c r="K43" s="7" t="inlineStr"/>
    </row>
    <row r="44">
      <c r="A44" s="7">
        <f>ROW()-1</f>
        <v/>
      </c>
      <c r="B44" s="7" t="inlineStr">
        <is>
          <t>Evaluation</t>
        </is>
      </c>
      <c r="C44" s="7" t="inlineStr">
        <is>
          <t>[Sprint 4] Chọn 15-20 ca lỗi tệ nhất, phân loại nguyên nhân</t>
        </is>
      </c>
      <c r="D44" s="7" t="inlineStr">
        <is>
          <t>Bộ ca lỗi có phân loại rõ nguyên nhân</t>
        </is>
      </c>
      <c r="E44" s="7" t="inlineStr">
        <is>
          <t>Hiếu</t>
        </is>
      </c>
      <c r="F44" s="7" t="inlineStr">
        <is>
          <t>High</t>
        </is>
      </c>
      <c r="G44" s="7" t="inlineStr">
        <is>
          <t>Todo</t>
        </is>
      </c>
      <c r="H44" s="7" t="inlineStr"/>
      <c r="I44" s="8" t="n">
        <v>46281</v>
      </c>
      <c r="J44" s="7" t="inlineStr"/>
      <c r="K44" s="7" t="inlineStr"/>
    </row>
    <row r="45">
      <c r="A45" s="7">
        <f>ROW()-1</f>
        <v/>
      </c>
      <c r="B45" s="7" t="inlineStr">
        <is>
          <t>Evaluation</t>
        </is>
      </c>
      <c r="C45" s="7" t="inlineStr">
        <is>
          <t>[Sprint 4] Paired bootstrap test giữa các hệ thống</t>
        </is>
      </c>
      <c r="D45" s="7" t="inlineStr">
        <is>
          <t>Kết luận rõ có/không ý nghĩa thống kê</t>
        </is>
      </c>
      <c r="E45" s="7" t="inlineStr">
        <is>
          <t>Hiếu</t>
        </is>
      </c>
      <c r="F45" s="7" t="inlineStr">
        <is>
          <t>Medium</t>
        </is>
      </c>
      <c r="G45" s="7" t="inlineStr">
        <is>
          <t>Todo</t>
        </is>
      </c>
      <c r="H45" s="7" t="inlineStr"/>
      <c r="I45" s="8" t="n">
        <v>46281</v>
      </c>
      <c r="J45" s="7" t="inlineStr"/>
      <c r="K45" s="7" t="inlineStr"/>
    </row>
    <row r="46">
      <c r="A46" s="7">
        <f>ROW()-1</f>
        <v/>
      </c>
      <c r="B46" s="7" t="inlineStr">
        <is>
          <t>Systems</t>
        </is>
      </c>
      <c r="C46" s="7" t="inlineStr">
        <is>
          <t>[Sprint 4] Re-index Qdrant với checkpoint mới</t>
        </is>
      </c>
      <c r="D46" s="7" t="inlineStr">
        <is>
          <t>Index phản ánh đúng mô hình đã fine-tune</t>
        </is>
      </c>
      <c r="E46" s="7" t="inlineStr">
        <is>
          <t>Hiệp</t>
        </is>
      </c>
      <c r="F46" s="7" t="inlineStr">
        <is>
          <t>High</t>
        </is>
      </c>
      <c r="G46" s="7" t="inlineStr">
        <is>
          <t>Todo</t>
        </is>
      </c>
      <c r="H46" s="7" t="inlineStr"/>
      <c r="I46" s="8" t="n">
        <v>46281</v>
      </c>
      <c r="J46" s="7" t="inlineStr"/>
      <c r="K46" s="7" t="inlineStr"/>
    </row>
    <row r="47">
      <c r="A47" s="7">
        <f>ROW()-1</f>
        <v/>
      </c>
      <c r="B47" s="7" t="inlineStr">
        <is>
          <t>Systems</t>
        </is>
      </c>
      <c r="C47" s="7" t="inlineStr">
        <is>
          <t>[Sprint 4] Đo latency 3 thành phần (encode/ANN/e2e), p50/p95, tất cả hệ thống</t>
        </is>
      </c>
      <c r="D47" s="7" t="inlineStr">
        <is>
          <t>Bảng latency đầy đủ, trung thực (không gộp 1 số)</t>
        </is>
      </c>
      <c r="E47" s="7" t="inlineStr">
        <is>
          <t>Hiệp</t>
        </is>
      </c>
      <c r="F47" s="7" t="inlineStr">
        <is>
          <t>High</t>
        </is>
      </c>
      <c r="G47" s="7" t="inlineStr">
        <is>
          <t>Todo</t>
        </is>
      </c>
      <c r="H47" s="7" t="inlineStr"/>
      <c r="I47" s="8" t="n">
        <v>46281</v>
      </c>
      <c r="J47" s="7" t="inlineStr"/>
      <c r="K47" s="7" t="inlineStr"/>
    </row>
    <row r="48">
      <c r="A48" s="7">
        <f>ROW()-1</f>
        <v/>
      </c>
      <c r="B48" s="7" t="inlineStr">
        <is>
          <t>Data</t>
        </is>
      </c>
      <c r="C48" s="7" t="inlineStr">
        <is>
          <t>[Sprint 4] Tổng hợp phân tích thiên lệch văn hoá (danh mục 0 mẫu)</t>
        </is>
      </c>
      <c r="D48" s="7" t="inlineStr">
        <is>
          <t>Ghi chú thiên lệch sẵn sàng đưa vào báo cáo</t>
        </is>
      </c>
      <c r="E48" s="7" t="inlineStr">
        <is>
          <t>Hưng</t>
        </is>
      </c>
      <c r="F48" s="7" t="inlineStr">
        <is>
          <t>High</t>
        </is>
      </c>
      <c r="G48" s="7" t="inlineStr">
        <is>
          <t>Todo</t>
        </is>
      </c>
      <c r="H48" s="7" t="inlineStr"/>
      <c r="I48" s="8" t="n">
        <v>46281</v>
      </c>
      <c r="J48" s="7" t="inlineStr"/>
      <c r="K48" s="7" t="inlineStr"/>
    </row>
    <row r="49">
      <c r="A49" s="7">
        <f>ROW()-1</f>
        <v/>
      </c>
      <c r="B49" s="7" t="inlineStr">
        <is>
          <t>Report</t>
        </is>
      </c>
      <c r="C49" s="7" t="inlineStr">
        <is>
          <t>[Sprint 4] Viết Mục 5 báo cáo (kết quả, ablation, phân tích lỗi, thiên lệch)</t>
        </is>
      </c>
      <c r="D49" s="7" t="inlineStr">
        <is>
          <t>Draft Mục 5 hoàn chỉnh, khớp số liệu thật — phần nặng nhất</t>
        </is>
      </c>
      <c r="E49" s="7" t="inlineStr">
        <is>
          <t>Hưng</t>
        </is>
      </c>
      <c r="F49" s="7" t="inlineStr">
        <is>
          <t>High</t>
        </is>
      </c>
      <c r="G49" s="7" t="inlineStr">
        <is>
          <t>Todo</t>
        </is>
      </c>
      <c r="H49" s="7" t="inlineStr"/>
      <c r="I49" s="8" t="n">
        <v>46281</v>
      </c>
      <c r="J49" s="7" t="inlineStr"/>
      <c r="K49" s="7" t="inlineStr"/>
    </row>
    <row r="50">
      <c r="A50" s="7">
        <f>ROW()-1</f>
        <v/>
      </c>
      <c r="B50" s="7" t="inlineStr">
        <is>
          <t>Model</t>
        </is>
      </c>
      <c r="C50" s="7" t="inlineStr">
        <is>
          <t>[Sprint 5] Tổng hợp số liệu mô hình/huấn luyện/ablation có cấu trúc, gửi để ghép báo cáo</t>
        </is>
      </c>
      <c r="D50" s="7" t="inlineStr">
        <is>
          <t>Bảng số liệu đầy đủ</t>
        </is>
      </c>
      <c r="E50" s="7" t="inlineStr">
        <is>
          <t>Hùng</t>
        </is>
      </c>
      <c r="F50" s="7" t="inlineStr">
        <is>
          <t>High</t>
        </is>
      </c>
      <c r="G50" s="7" t="inlineStr">
        <is>
          <t>Todo</t>
        </is>
      </c>
      <c r="H50" s="7" t="inlineStr"/>
      <c r="I50" s="8" t="n">
        <v>46288</v>
      </c>
      <c r="J50" s="7" t="inlineStr"/>
      <c r="K50" s="7" t="inlineStr"/>
    </row>
    <row r="51">
      <c r="A51" s="7">
        <f>ROW()-1</f>
        <v/>
      </c>
      <c r="B51" s="7" t="inlineStr">
        <is>
          <t>Model</t>
        </is>
      </c>
      <c r="C51" s="7" t="inlineStr">
        <is>
          <t>[Sprint 5] Hỗ trợ tối ưu inference cho demo nếu chậm</t>
        </is>
      </c>
      <c r="D51" s="7" t="inlineStr">
        <is>
          <t>Demo phản hồi đủ nhanh khi trình diễn</t>
        </is>
      </c>
      <c r="E51" s="7" t="inlineStr">
        <is>
          <t>Hùng</t>
        </is>
      </c>
      <c r="F51" s="7" t="inlineStr">
        <is>
          <t>Medium</t>
        </is>
      </c>
      <c r="G51" s="7" t="inlineStr">
        <is>
          <t>Todo</t>
        </is>
      </c>
      <c r="H51" s="7" t="inlineStr"/>
      <c r="I51" s="8" t="n">
        <v>46288</v>
      </c>
      <c r="J51" s="7" t="inlineStr"/>
      <c r="K51" s="7" t="inlineStr"/>
    </row>
    <row r="52">
      <c r="A52" s="7">
        <f>ROW()-1</f>
        <v/>
      </c>
      <c r="B52" s="7" t="inlineStr">
        <is>
          <t>Evaluation</t>
        </is>
      </c>
      <c r="C52" s="7" t="inlineStr">
        <is>
          <t>[Sprint 5] Tổng hợp số liệu đánh giá/kết quả/phân tích lỗi có cấu trúc</t>
        </is>
      </c>
      <c r="D52" s="7" t="inlineStr">
        <is>
          <t>Bảng số liệu đầy đủ</t>
        </is>
      </c>
      <c r="E52" s="7" t="inlineStr">
        <is>
          <t>Hiếu</t>
        </is>
      </c>
      <c r="F52" s="7" t="inlineStr">
        <is>
          <t>High</t>
        </is>
      </c>
      <c r="G52" s="7" t="inlineStr">
        <is>
          <t>Todo</t>
        </is>
      </c>
      <c r="H52" s="7" t="inlineStr"/>
      <c r="I52" s="8" t="n">
        <v>46288</v>
      </c>
      <c r="J52" s="7" t="inlineStr"/>
      <c r="K52" s="7" t="inlineStr"/>
    </row>
    <row r="53">
      <c r="A53" s="7">
        <f>ROW()-1</f>
        <v/>
      </c>
      <c r="B53" s="7" t="inlineStr">
        <is>
          <t>Evaluation</t>
        </is>
      </c>
      <c r="C53" s="7" t="inlineStr">
        <is>
          <t>[Sprint 5] Kiểm thử số liệu tái lập đúng như báo cáo</t>
        </is>
      </c>
      <c r="D53" s="7" t="inlineStr">
        <is>
          <t>Chạy lại cho ra đúng số đã viết</t>
        </is>
      </c>
      <c r="E53" s="7" t="inlineStr">
        <is>
          <t>Hiếu</t>
        </is>
      </c>
      <c r="F53" s="7" t="inlineStr">
        <is>
          <t>High</t>
        </is>
      </c>
      <c r="G53" s="7" t="inlineStr">
        <is>
          <t>Todo</t>
        </is>
      </c>
      <c r="H53" s="7" t="inlineStr"/>
      <c r="I53" s="8" t="n">
        <v>46288</v>
      </c>
      <c r="J53" s="7" t="inlineStr"/>
      <c r="K53" s="7" t="inlineStr"/>
    </row>
    <row r="54">
      <c r="A54" s="7">
        <f>ROW()-1</f>
        <v/>
      </c>
      <c r="B54" s="7" t="inlineStr">
        <is>
          <t>Systems</t>
        </is>
      </c>
      <c r="C54" s="7" t="inlineStr">
        <is>
          <t>[Sprint 5] Hoàn thiện FastAPI (/search text+ảnh, lọc metadata) + Streamlit demo</t>
        </is>
      </c>
      <c r="D54" s="7" t="inlineStr">
        <is>
          <t>Demo chạy đầu-cuối không lỗi</t>
        </is>
      </c>
      <c r="E54" s="7" t="inlineStr">
        <is>
          <t>Hiệp</t>
        </is>
      </c>
      <c r="F54" s="7" t="inlineStr">
        <is>
          <t>High</t>
        </is>
      </c>
      <c r="G54" s="7" t="inlineStr">
        <is>
          <t>Todo</t>
        </is>
      </c>
      <c r="H54" s="7" t="inlineStr"/>
      <c r="I54" s="8" t="n">
        <v>46288</v>
      </c>
      <c r="J54" s="7" t="inlineStr"/>
      <c r="K54" s="7" t="inlineStr"/>
    </row>
    <row r="55">
      <c r="A55" s="7">
        <f>ROW()-1</f>
        <v/>
      </c>
      <c r="B55" s="7" t="inlineStr">
        <is>
          <t>Systems</t>
        </is>
      </c>
      <c r="C55" s="7" t="inlineStr">
        <is>
          <t>[Sprint 5] Tổng hợp mô tả kiến trúc hệ thống + latency có cấu trúc</t>
        </is>
      </c>
      <c r="D55" s="7" t="inlineStr">
        <is>
          <t>Ghi chú kỹ thuật đầy đủ</t>
        </is>
      </c>
      <c r="E55" s="7" t="inlineStr">
        <is>
          <t>Hiệp</t>
        </is>
      </c>
      <c r="F55" s="7" t="inlineStr">
        <is>
          <t>High</t>
        </is>
      </c>
      <c r="G55" s="7" t="inlineStr">
        <is>
          <t>Todo</t>
        </is>
      </c>
      <c r="H55" s="7" t="inlineStr"/>
      <c r="I55" s="8" t="n">
        <v>46288</v>
      </c>
      <c r="J55" s="7" t="inlineStr"/>
      <c r="K55" s="7" t="inlineStr"/>
    </row>
    <row r="56">
      <c r="A56" s="7">
        <f>ROW()-1</f>
        <v/>
      </c>
      <c r="B56" s="7" t="inlineStr">
        <is>
          <t>Systems</t>
        </is>
      </c>
      <c r="C56" s="7" t="inlineStr">
        <is>
          <t>[Sprint 5] Làm slide trình bày từ báo cáo đã hoàn thiện</t>
        </is>
      </c>
      <c r="D56" s="7" t="inlineStr">
        <is>
          <t>Slide sẵn sàng trình bày</t>
        </is>
      </c>
      <c r="E56" s="7" t="inlineStr">
        <is>
          <t>Hiệp</t>
        </is>
      </c>
      <c r="F56" s="7" t="inlineStr">
        <is>
          <t>High</t>
        </is>
      </c>
      <c r="G56" s="7" t="inlineStr">
        <is>
          <t>Todo</t>
        </is>
      </c>
      <c r="H56" s="7" t="inlineStr"/>
      <c r="I56" s="8" t="n">
        <v>46288</v>
      </c>
      <c r="J56" s="7" t="inlineStr"/>
      <c r="K56" s="7" t="inlineStr"/>
    </row>
    <row r="57">
      <c r="A57" s="7">
        <f>ROW()-1</f>
        <v/>
      </c>
      <c r="B57" s="7" t="inlineStr">
        <is>
          <t>Report</t>
        </is>
      </c>
      <c r="C57" s="7" t="inlineStr">
        <is>
          <t>[Sprint 5] Ghép các phần đã viết (Mục 1-2, 3.1-3.4, 5), viết abstract/kết luận, format lại toàn bộ</t>
        </is>
      </c>
      <c r="D57" s="7" t="inlineStr">
        <is>
          <t>Báo cáo hoàn chỉnh, không còn chỗ thiếu</t>
        </is>
      </c>
      <c r="E57" s="7" t="inlineStr">
        <is>
          <t>Hưng</t>
        </is>
      </c>
      <c r="F57" s="7" t="inlineStr">
        <is>
          <t>High</t>
        </is>
      </c>
      <c r="G57" s="7" t="inlineStr">
        <is>
          <t>Todo</t>
        </is>
      </c>
      <c r="H57" s="7" t="inlineStr"/>
      <c r="I57" s="8" t="n">
        <v>46288</v>
      </c>
      <c r="J57" s="7" t="inlineStr"/>
      <c r="K57" s="7" t="inlineStr"/>
    </row>
  </sheetData>
  <autoFilter ref="A1:K57"/>
  <conditionalFormatting sqref="G2:G57">
    <cfRule type="cellIs" priority="1" operator="equal" dxfId="0">
      <formula>"New"</formula>
    </cfRule>
    <cfRule type="cellIs" priority="2" operator="equal" dxfId="0">
      <formula>"To Do"</formula>
    </cfRule>
    <cfRule type="cellIs" priority="3" operator="equal" dxfId="0">
      <formula>"Todo"</formula>
    </cfRule>
    <cfRule type="cellIs" priority="4" operator="equal" dxfId="1">
      <formula>"In Progress"</formula>
    </cfRule>
    <cfRule type="cellIs" priority="5" operator="equal" dxfId="1">
      <formula>"Doing"</formula>
    </cfRule>
    <cfRule type="cellIs" priority="6" operator="equal" dxfId="1">
      <formula>"Testing"</formula>
    </cfRule>
    <cfRule type="cellIs" priority="7" operator="equal" dxfId="2">
      <formula>"Done"</formula>
    </cfRule>
    <cfRule type="cellIs" priority="8" operator="equal" dxfId="2">
      <formula>"Confirm"</formula>
    </cfRule>
    <cfRule type="cellIs" priority="9" operator="equal" dxfId="2">
      <formula>"Released"</formula>
    </cfRule>
    <cfRule type="cellIs" priority="10" operator="equal" dxfId="2">
      <formula>"Closed"</formula>
    </cfRule>
    <cfRule type="cellIs" priority="11" operator="equal" dxfId="3">
      <formula>"Reject"</formula>
    </cfRule>
    <cfRule type="cellIs" priority="12" operator="equal" dxfId="3">
      <formula>"Pending"</formula>
    </cfRule>
    <cfRule type="cellIs" priority="13" operator="equal" dxfId="3">
      <formula>"Blocked"</formula>
    </cfRule>
  </conditionalFormatting>
  <dataValidations count="3">
    <dataValidation sqref="G2:G57" showDropDown="0" showInputMessage="0" showErrorMessage="0" allowBlank="1" type="list">
      <formula1>"Todo,In Progress,Testing,Done,Released,Pending"</formula1>
    </dataValidation>
    <dataValidation sqref="F2:F57" showDropDown="0" showInputMessage="0" showErrorMessage="0" allowBlank="1" type="list">
      <formula1>"High,Medium,Low"</formula1>
    </dataValidation>
    <dataValidation sqref="E2:E57" showDropDown="0" showInputMessage="0" showErrorMessage="0" allowBlank="1" type="list">
      <formula1>"Hưng,Hùng,Hiếu,Hiệp"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46" customWidth="1" min="5" max="5"/>
    <col width="30" customWidth="1" min="6" max="6"/>
    <col width="12" customWidth="1" min="7" max="7"/>
    <col width="14" customWidth="1" min="8" max="8"/>
    <col width="10" customWidth="1" min="9" max="9"/>
    <col width="26" customWidth="1" min="10" max="10"/>
  </cols>
  <sheetData>
    <row r="1">
      <c r="A1" s="9" t="inlineStr">
        <is>
          <t>Multimodal Fashion Search — Final Submission &amp; Demo Day Checklist</t>
        </is>
      </c>
    </row>
    <row r="3">
      <c r="A3" s="10" t="inlineStr">
        <is>
          <t>Purpose</t>
        </is>
      </c>
      <c r="B3" t="inlineStr">
        <is>
          <t>Nộp báo cáo cuối kỳ + trình diễn demo (kết thúc Sprint 5)</t>
        </is>
      </c>
    </row>
    <row r="4">
      <c r="A4" s="10" t="inlineStr">
        <is>
          <t>Environment</t>
        </is>
      </c>
      <c r="B4" t="inlineStr">
        <is>
          <t>Local (demo) / Nộp online (báo cáo)</t>
        </is>
      </c>
    </row>
    <row r="5">
      <c r="A5" s="10" t="inlineStr">
        <is>
          <t>Target System</t>
        </is>
      </c>
      <c r="B5" t="inlineStr">
        <is>
          <t>Multimodal Fashion Search — Streamlit + FastAPI + Qdrant</t>
        </is>
      </c>
    </row>
    <row r="6">
      <c r="A6" s="10" t="inlineStr">
        <is>
          <t>Scheduled Date &amp; Time</t>
        </is>
      </c>
      <c r="B6" s="11" t="n">
        <v>46288</v>
      </c>
    </row>
    <row r="7">
      <c r="A7" s="10" t="inlineStr">
        <is>
          <t>Execution Date</t>
        </is>
      </c>
      <c r="B7" s="11" t="n">
        <v>46288</v>
      </c>
    </row>
    <row r="9" ht="30" customHeight="1">
      <c r="A9" s="6" t="inlineStr">
        <is>
          <t>Task ID</t>
        </is>
      </c>
      <c r="B9" s="6" t="inlineStr">
        <is>
          <t>Target Component</t>
        </is>
      </c>
      <c r="C9" s="6" t="inlineStr">
        <is>
          <t>Estimated Time</t>
        </is>
      </c>
      <c r="D9" s="6" t="inlineStr">
        <is>
          <t>Actual Time</t>
        </is>
      </c>
      <c r="E9" s="6" t="inlineStr">
        <is>
          <t>Detailed Work Steps</t>
        </is>
      </c>
      <c r="F9" s="6" t="inlineStr">
        <is>
          <t>Verification Method</t>
        </is>
      </c>
      <c r="G9" s="6" t="inlineStr">
        <is>
          <t>Owner</t>
        </is>
      </c>
      <c r="H9" s="6" t="inlineStr">
        <is>
          <t>Confirmed by</t>
        </is>
      </c>
      <c r="I9" s="6" t="inlineStr">
        <is>
          <t>Progress</t>
        </is>
      </c>
      <c r="J9" s="6" t="inlineStr">
        <is>
          <t>Note</t>
        </is>
      </c>
    </row>
    <row r="10">
      <c r="A10" s="12" t="inlineStr">
        <is>
          <t>Preparation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>
      <c r="A11" s="7" t="n">
        <v>1</v>
      </c>
      <c r="B11" s="7" t="inlineStr">
        <is>
          <t>Comms</t>
        </is>
      </c>
      <c r="C11" s="7" t="inlineStr">
        <is>
          <t>DD/MM/YYYY</t>
        </is>
      </c>
      <c r="D11" s="7" t="inlineStr">
        <is>
          <t>DD/MM/YYYY</t>
        </is>
      </c>
      <c r="E11" s="7" t="inlineStr">
        <is>
          <t>Gửi báo cáo draft cho cả nhóm đọc lần cuối</t>
        </is>
      </c>
      <c r="F11" s="7" t="inlineStr">
        <is>
          <t>Cả nhóm xác nhận đã đọc trong nhóm chat</t>
        </is>
      </c>
      <c r="G11" s="7" t="inlineStr">
        <is>
          <t>Hưng</t>
        </is>
      </c>
      <c r="H11" s="7" t="inlineStr">
        <is>
          <t>Cả nhóm</t>
        </is>
      </c>
      <c r="I11" s="7" t="inlineStr"/>
      <c r="J11" s="7" t="inlineStr"/>
    </row>
    <row r="12">
      <c r="A12" s="7" t="n">
        <v>2</v>
      </c>
      <c r="B12" s="7" t="inlineStr">
        <is>
          <t>Model</t>
        </is>
      </c>
      <c r="C12" s="7" t="inlineStr">
        <is>
          <t>DD/MM/YYYY</t>
        </is>
      </c>
      <c r="D12" s="7" t="inlineStr">
        <is>
          <t>DD/MM/YYYY</t>
        </is>
      </c>
      <c r="E12" s="7" t="inlineStr">
        <is>
          <t>Đóng băng checkpoint + code fine-tune, không sửa thêm</t>
        </is>
      </c>
      <c r="F12" s="7" t="inlineStr">
        <is>
          <t>Checkpoint + commit hash ghi vào runs.csv</t>
        </is>
      </c>
      <c r="G12" s="7" t="inlineStr">
        <is>
          <t>Hùng</t>
        </is>
      </c>
      <c r="H12" s="7" t="inlineStr">
        <is>
          <t>Cả nhóm</t>
        </is>
      </c>
      <c r="I12" s="7" t="inlineStr"/>
      <c r="J12" s="7" t="inlineStr"/>
    </row>
    <row r="13">
      <c r="A13" s="7" t="n">
        <v>3</v>
      </c>
      <c r="B13" s="7" t="inlineStr">
        <is>
          <t>Data</t>
        </is>
      </c>
      <c r="C13" s="7" t="inlineStr">
        <is>
          <t>DD/MM/YYYY</t>
        </is>
      </c>
      <c r="D13" s="7" t="inlineStr">
        <is>
          <t>DD/MM/YYYY</t>
        </is>
      </c>
      <c r="E13" s="7" t="inlineStr">
        <is>
          <t>Xác nhận demo dùng đúng index/catalog cuối cùng</t>
        </is>
      </c>
      <c r="F13" s="7" t="inlineStr">
        <is>
          <t>Qdrant collection version khớp checkpoint cuối</t>
        </is>
      </c>
      <c r="G13" s="7" t="inlineStr">
        <is>
          <t>Hiệp</t>
        </is>
      </c>
      <c r="H13" s="7" t="inlineStr">
        <is>
          <t>Cả nhóm</t>
        </is>
      </c>
      <c r="I13" s="7" t="inlineStr"/>
      <c r="J13" s="7" t="inlineStr"/>
    </row>
    <row r="14">
      <c r="A14" s="7" t="n">
        <v>4</v>
      </c>
      <c r="B14" s="7" t="inlineStr">
        <is>
          <t>Report</t>
        </is>
      </c>
      <c r="C14" s="7" t="inlineStr">
        <is>
          <t>DD/MM/YYYY</t>
        </is>
      </c>
      <c r="D14" s="7" t="inlineStr">
        <is>
          <t>DD/MM/YYYY</t>
        </is>
      </c>
      <c r="E14" s="7" t="inlineStr">
        <is>
          <t>Kiểm tra số liệu trong báo cáo khớp evaluate.py chạy lại</t>
        </is>
      </c>
      <c r="F14" s="7" t="inlineStr">
        <is>
          <t>Chạy lại evaluate.py, so khớp số trong báo cáo</t>
        </is>
      </c>
      <c r="G14" s="7" t="inlineStr">
        <is>
          <t>Hiếu</t>
        </is>
      </c>
      <c r="H14" s="7" t="inlineStr">
        <is>
          <t>Cả nhóm</t>
        </is>
      </c>
      <c r="I14" s="7" t="inlineStr"/>
      <c r="J14" s="7" t="inlineStr"/>
    </row>
    <row r="15">
      <c r="A15" s="12" t="inlineStr">
        <is>
          <t>Deployment Steps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7" t="n">
        <v>1</v>
      </c>
      <c r="B16" s="7" t="inlineStr">
        <is>
          <t>Backend</t>
        </is>
      </c>
      <c r="C16" s="7" t="inlineStr">
        <is>
          <t>DD/MM/YYYY</t>
        </is>
      </c>
      <c r="D16" s="7" t="inlineStr">
        <is>
          <t>DD/MM/YYYY</t>
        </is>
      </c>
      <c r="E16" s="7" t="inlineStr">
        <is>
          <t>Chạy FastAPI local, xác nhận endpoint /health</t>
        </is>
      </c>
      <c r="F16" s="7" t="inlineStr">
        <is>
          <t>Trả 200 OK</t>
        </is>
      </c>
      <c r="G16" s="7" t="inlineStr">
        <is>
          <t>Hiệp</t>
        </is>
      </c>
      <c r="H16" s="7" t="inlineStr">
        <is>
          <t>Cả nhóm</t>
        </is>
      </c>
      <c r="I16" s="7" t="inlineStr"/>
      <c r="J16" s="7" t="inlineStr"/>
    </row>
    <row r="17">
      <c r="A17" s="7" t="n">
        <v>2</v>
      </c>
      <c r="B17" s="7" t="inlineStr">
        <is>
          <t>Frontend</t>
        </is>
      </c>
      <c r="C17" s="7" t="inlineStr">
        <is>
          <t>DD/MM/YYYY</t>
        </is>
      </c>
      <c r="D17" s="7" t="inlineStr">
        <is>
          <t>DD/MM/YYYY</t>
        </is>
      </c>
      <c r="E17" s="7" t="inlineStr">
        <is>
          <t>Chạy Streamlit demo local</t>
        </is>
      </c>
      <c r="F17" s="7" t="inlineStr">
        <is>
          <t>App load được, không lỗi console</t>
        </is>
      </c>
      <c r="G17" s="7" t="inlineStr">
        <is>
          <t>Hiệp</t>
        </is>
      </c>
      <c r="H17" s="7" t="inlineStr">
        <is>
          <t>Cả nhóm</t>
        </is>
      </c>
      <c r="I17" s="7" t="inlineStr"/>
      <c r="J17" s="7" t="inlineStr"/>
    </row>
    <row r="18">
      <c r="A18" s="7" t="n">
        <v>3</v>
      </c>
      <c r="B18" s="7" t="inlineStr">
        <is>
          <t>Demo</t>
        </is>
      </c>
      <c r="C18" s="7" t="inlineStr">
        <is>
          <t>DD/MM/YYYY</t>
        </is>
      </c>
      <c r="D18" s="7" t="inlineStr">
        <is>
          <t>DD/MM/YYYY</t>
        </is>
      </c>
      <c r="E18" s="7" t="inlineStr">
        <is>
          <t>Test thử 5 truy vấn mẫu (text + ảnh)</t>
        </is>
      </c>
      <c r="F18" s="7" t="inlineStr">
        <is>
          <t>Trả top-K hợp lý cho cả 5 truy vấn</t>
        </is>
      </c>
      <c r="G18" s="7" t="inlineStr">
        <is>
          <t>Hiệp / Hiếu</t>
        </is>
      </c>
      <c r="H18" s="7" t="inlineStr">
        <is>
          <t>Cả nhóm</t>
        </is>
      </c>
      <c r="I18" s="7" t="inlineStr"/>
      <c r="J18" s="7" t="inlineStr"/>
    </row>
    <row r="19">
      <c r="A19" s="12" t="inlineStr">
        <is>
          <t>Verify Steps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A20" s="7" t="n">
        <v>1</v>
      </c>
      <c r="B20" s="7" t="inlineStr">
        <is>
          <t>QA</t>
        </is>
      </c>
      <c r="C20" s="7" t="inlineStr">
        <is>
          <t>DD/MM/YYYY</t>
        </is>
      </c>
      <c r="D20" s="7" t="inlineStr">
        <is>
          <t>DD/MM/YYYY</t>
        </is>
      </c>
      <c r="E20" s="7" t="inlineStr">
        <is>
          <t>Chạy lại evaluate.py, so số với báo cáo</t>
        </is>
      </c>
      <c r="F20" s="7" t="inlineStr">
        <is>
          <t>Recall/MRR/nDCG khớp báo cáo (sai số làm tròn)</t>
        </is>
      </c>
      <c r="G20" s="7" t="inlineStr">
        <is>
          <t>Hiếu</t>
        </is>
      </c>
      <c r="H20" s="7" t="inlineStr">
        <is>
          <t>Cả nhóm</t>
        </is>
      </c>
      <c r="I20" s="7" t="inlineStr"/>
      <c r="J20" s="7" t="inlineStr"/>
    </row>
    <row r="21">
      <c r="A21" s="7" t="n">
        <v>2</v>
      </c>
      <c r="B21" s="7" t="inlineStr">
        <is>
          <t>QA</t>
        </is>
      </c>
      <c r="C21" s="7" t="inlineStr">
        <is>
          <t>DD/MM/YYYY</t>
        </is>
      </c>
      <c r="D21" s="7" t="inlineStr">
        <is>
          <t>DD/MM/YYYY</t>
        </is>
      </c>
      <c r="E21" s="7" t="inlineStr">
        <is>
          <t>Kiểm tra latency demo thực tế so với &lt;200ms mục tiêu</t>
        </is>
      </c>
      <c r="F21" s="7" t="inlineStr">
        <is>
          <t>p50/p95 ghi nhận đúng như bảng latency</t>
        </is>
      </c>
      <c r="G21" s="7" t="inlineStr">
        <is>
          <t>Hiệp</t>
        </is>
      </c>
      <c r="H21" s="7" t="inlineStr">
        <is>
          <t>Cả nhóm</t>
        </is>
      </c>
      <c r="I21" s="7" t="inlineStr"/>
      <c r="J21" s="7" t="inlineStr"/>
    </row>
    <row r="22">
      <c r="A22" s="7" t="n">
        <v>3</v>
      </c>
      <c r="B22" s="7" t="inlineStr">
        <is>
          <t>Report</t>
        </is>
      </c>
      <c r="C22" s="7" t="inlineStr">
        <is>
          <t>DD/MM/YYYY</t>
        </is>
      </c>
      <c r="D22" s="7" t="inlineStr">
        <is>
          <t>DD/MM/YYYY</t>
        </is>
      </c>
      <c r="E22" s="7" t="inlineStr">
        <is>
          <t>Đọc lại toàn bộ báo cáo + slide lần cuối</t>
        </is>
      </c>
      <c r="F22" s="7" t="inlineStr">
        <is>
          <t>Không còn phần thiếu/lệch số liệu</t>
        </is>
      </c>
      <c r="G22" s="7" t="inlineStr">
        <is>
          <t>Hưng</t>
        </is>
      </c>
      <c r="H22" s="7" t="inlineStr">
        <is>
          <t>Cả nhóm</t>
        </is>
      </c>
      <c r="I22" s="7" t="inlineStr"/>
      <c r="J22" s="7" t="inlineStr"/>
    </row>
    <row r="23">
      <c r="A23" s="12" t="inlineStr">
        <is>
          <t>Rollback (if needed)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A24" s="7" t="n">
        <v>1</v>
      </c>
      <c r="B24" s="7" t="inlineStr">
        <is>
          <t>Demo</t>
        </is>
      </c>
      <c r="C24" s="7" t="inlineStr">
        <is>
          <t>—</t>
        </is>
      </c>
      <c r="D24" s="7" t="inlineStr">
        <is>
          <t>—</t>
        </is>
      </c>
      <c r="E24" s="7" t="inlineStr">
        <is>
          <t>Nếu demo lỗi lúc trình bày: dùng video quay sẵn / notebook chạy trước</t>
        </is>
      </c>
      <c r="F24" s="7" t="inlineStr">
        <is>
          <t>Chỉ áp dụng khi demo live thất bại</t>
        </is>
      </c>
      <c r="G24" s="7" t="inlineStr">
        <is>
          <t>Hiệp</t>
        </is>
      </c>
      <c r="H24" s="7" t="inlineStr">
        <is>
          <t>—</t>
        </is>
      </c>
      <c r="I24" s="7" t="inlineStr"/>
      <c r="J24" s="7" t="inlineStr"/>
    </row>
    <row r="25">
      <c r="A25" s="7" t="n">
        <v>2</v>
      </c>
      <c r="B25" s="7" t="inlineStr">
        <is>
          <t>Report</t>
        </is>
      </c>
      <c r="C25" s="7" t="inlineStr">
        <is>
          <t>—</t>
        </is>
      </c>
      <c r="D25" s="7" t="inlineStr">
        <is>
          <t>—</t>
        </is>
      </c>
      <c r="E25" s="7" t="inlineStr">
        <is>
          <t>Nếu số liệu bị hỏi lệch: giải thích rõ trong phần Q&amp;A, không sửa báo cáo tại chỗ</t>
        </is>
      </c>
      <c r="F25" s="7" t="inlineStr">
        <is>
          <t>Chỉ áp dụng khi bị hỏi trong buổi bảo vệ</t>
        </is>
      </c>
      <c r="G25" s="7" t="inlineStr">
        <is>
          <t>Hưng</t>
        </is>
      </c>
      <c r="H25" s="7" t="inlineStr">
        <is>
          <t>—</t>
        </is>
      </c>
      <c r="I25" s="7" t="inlineStr"/>
      <c r="J25" s="7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34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22" customWidth="1" min="13" max="13"/>
    <col width="8" customWidth="1" min="14" max="14"/>
    <col width="8" customWidth="1" min="15" max="15"/>
    <col width="22" customWidth="1" min="16" max="16"/>
  </cols>
  <sheetData>
    <row r="2">
      <c r="B2" s="14" t="inlineStr">
        <is>
          <t>MỤC TIÊU SPRINT</t>
        </is>
      </c>
      <c r="C2" s="15" t="n"/>
      <c r="D2" s="15" t="n"/>
      <c r="F2" s="14" t="inlineStr">
        <is>
          <t>DASHBOARD</t>
        </is>
      </c>
      <c r="G2" s="15" t="n"/>
      <c r="I2" s="14" t="inlineStr">
        <is>
          <t>GIỜ CÔNG</t>
        </is>
      </c>
      <c r="J2" s="15" t="n"/>
      <c r="K2" s="15" t="n"/>
      <c r="L2" s="15" t="n"/>
      <c r="M2" s="15" t="n"/>
      <c r="N2" s="15" t="n"/>
    </row>
    <row r="3">
      <c r="B3" t="inlineStr">
        <is>
          <t>Setup môi trường &amp; tải checkpoint model</t>
        </is>
      </c>
      <c r="D3" t="inlineStr">
        <is>
          <t>To Do</t>
        </is>
      </c>
      <c r="F3" s="16" t="inlineStr">
        <is>
          <t>Total</t>
        </is>
      </c>
      <c r="G3" s="16">
        <f>COUNTA(A12:A22)</f>
        <v/>
      </c>
      <c r="I3" s="17" t="inlineStr">
        <is>
          <t>Member</t>
        </is>
      </c>
      <c r="J3" s="17" t="inlineStr">
        <is>
          <t>Mảng</t>
        </is>
      </c>
      <c r="K3" s="17" t="inlineStr">
        <is>
          <t>Tiêu chuẩn (h)</t>
        </is>
      </c>
      <c r="L3" s="17" t="inlineStr">
        <is>
          <t>Họp (h)</t>
        </is>
      </c>
      <c r="M3" s="17" t="inlineStr">
        <is>
          <t>Nghỉ (h)</t>
        </is>
      </c>
      <c r="N3" s="17" t="inlineStr">
        <is>
          <t>Tổng (h)</t>
        </is>
      </c>
    </row>
    <row r="4">
      <c r="B4" t="inlineStr">
        <is>
          <t>Chọn/tải/subsample dataset công khai</t>
        </is>
      </c>
      <c r="D4" t="inlineStr">
        <is>
          <t>To Do</t>
        </is>
      </c>
      <c r="F4" s="16" t="inlineStr">
        <is>
          <t>To Do</t>
        </is>
      </c>
      <c r="G4" s="16">
        <f>COUNTIF(G12:G22,"To Do")</f>
        <v/>
      </c>
      <c r="I4" t="inlineStr">
        <is>
          <t>Hùng</t>
        </is>
      </c>
      <c r="J4" t="inlineStr">
        <is>
          <t>Model &amp; Training</t>
        </is>
      </c>
      <c r="K4" t="n">
        <v>16</v>
      </c>
      <c r="L4" t="n">
        <v>2</v>
      </c>
      <c r="M4" t="n">
        <v>0</v>
      </c>
      <c r="N4">
        <f>K4-L4-M4</f>
        <v/>
      </c>
    </row>
    <row r="5">
      <c r="B5" t="inlineStr">
        <is>
          <t>Khởi động viết truy vấn</t>
        </is>
      </c>
      <c r="D5" t="inlineStr">
        <is>
          <t>To Do</t>
        </is>
      </c>
      <c r="F5" s="16" t="inlineStr">
        <is>
          <t>Doing</t>
        </is>
      </c>
      <c r="G5" s="16">
        <f>COUNTIF(G12:G22,"Doing")</f>
        <v/>
      </c>
      <c r="I5" t="inlineStr">
        <is>
          <t>Hiếu</t>
        </is>
      </c>
      <c r="J5" t="inlineStr">
        <is>
          <t>Evaluation</t>
        </is>
      </c>
      <c r="K5" t="n">
        <v>16</v>
      </c>
      <c r="L5" t="n">
        <v>2</v>
      </c>
      <c r="M5" t="n">
        <v>0</v>
      </c>
      <c r="N5">
        <f>K5-L5-M5</f>
        <v/>
      </c>
    </row>
    <row r="6">
      <c r="F6" s="16" t="inlineStr">
        <is>
          <t>Done</t>
        </is>
      </c>
      <c r="G6" s="16">
        <f>COUNTIF(G12:G22,"Done")</f>
        <v/>
      </c>
      <c r="I6" t="inlineStr">
        <is>
          <t>Hiệp</t>
        </is>
      </c>
      <c r="J6" t="inlineStr">
        <is>
          <t>Data &amp; Systems</t>
        </is>
      </c>
      <c r="K6" t="n">
        <v>22</v>
      </c>
      <c r="L6" t="n">
        <v>2</v>
      </c>
      <c r="M6" t="n">
        <v>0</v>
      </c>
      <c r="N6">
        <f>K6-L6-M6</f>
        <v/>
      </c>
    </row>
    <row r="7">
      <c r="F7" s="16" t="inlineStr">
        <is>
          <t>Confirm</t>
        </is>
      </c>
      <c r="G7" s="16">
        <f>COUNTIF(G12:G22,"Confirm")</f>
        <v/>
      </c>
      <c r="I7" t="inlineStr">
        <is>
          <t>Hưng</t>
        </is>
      </c>
      <c r="J7" t="inlineStr">
        <is>
          <t>Data &amp; Report</t>
        </is>
      </c>
      <c r="K7" t="n">
        <v>12</v>
      </c>
      <c r="L7" t="n">
        <v>2</v>
      </c>
      <c r="M7" t="n">
        <v>0</v>
      </c>
      <c r="N7">
        <f>K7-L7-M7</f>
        <v/>
      </c>
    </row>
    <row r="8">
      <c r="F8" s="16" t="inlineStr">
        <is>
          <t>Reject</t>
        </is>
      </c>
      <c r="G8" s="16">
        <f>COUNTIF(G12:G22,"Reject")</f>
        <v/>
      </c>
      <c r="M8" s="17" t="inlineStr">
        <is>
          <t>Tổng</t>
        </is>
      </c>
      <c r="N8" s="17">
        <f>SUM(N4:N7)</f>
        <v/>
      </c>
    </row>
    <row r="9">
      <c r="F9" s="16" t="inlineStr">
        <is>
          <t>Pending</t>
        </is>
      </c>
      <c r="G9" s="16">
        <f>COUNTIF(G12:G22,"Pending")</f>
        <v/>
      </c>
      <c r="I9" s="17" t="inlineStr">
        <is>
          <t>Công số KH (h)</t>
        </is>
      </c>
      <c r="J9" s="17">
        <f>SUM(I12:J22)</f>
        <v/>
      </c>
      <c r="K9" s="17" t="inlineStr">
        <is>
          <t>Công số TT (h)</t>
        </is>
      </c>
      <c r="L9" s="17">
        <f>SUM(K12:L22)</f>
        <v/>
      </c>
      <c r="M9" s="17" t="inlineStr">
        <is>
          <t>Tỉ lệ TT/KH</t>
        </is>
      </c>
      <c r="N9" s="18">
        <f>IFERROR(L9/J9,0)</f>
        <v/>
      </c>
    </row>
    <row r="11" ht="30" customHeight="1">
      <c r="A11" s="6" t="inlineStr">
        <is>
          <t>No</t>
        </is>
      </c>
      <c r="B11" s="6" t="inlineStr">
        <is>
          <t>Epic</t>
        </is>
      </c>
      <c r="C11" s="6" t="inlineStr">
        <is>
          <t>US (user story)</t>
        </is>
      </c>
      <c r="D11" s="6" t="inlineStr">
        <is>
          <t>Output (Task)</t>
        </is>
      </c>
      <c r="E11" s="6" t="inlineStr">
        <is>
          <t>Type</t>
        </is>
      </c>
      <c r="F11" s="6" t="inlineStr">
        <is>
          <t>Priority</t>
        </is>
      </c>
      <c r="G11" s="6" t="inlineStr">
        <is>
          <t>Status</t>
        </is>
      </c>
      <c r="H11" s="6" t="inlineStr">
        <is>
          <t>PIC</t>
        </is>
      </c>
      <c r="I11" s="6" t="inlineStr">
        <is>
          <t>Dev (hour)</t>
        </is>
      </c>
      <c r="J11" s="6" t="inlineStr">
        <is>
          <t>Test (hour)</t>
        </is>
      </c>
      <c r="K11" s="6" t="inlineStr">
        <is>
          <t>Dev Actual (h)</t>
        </is>
      </c>
      <c r="L11" s="6" t="inlineStr">
        <is>
          <t>Test Actual (h)</t>
        </is>
      </c>
      <c r="M11" s="6" t="inlineStr">
        <is>
          <t>Note</t>
        </is>
      </c>
    </row>
    <row r="12">
      <c r="A12" s="7" t="inlineStr">
        <is>
          <t>1</t>
        </is>
      </c>
      <c r="B12" s="7" t="inlineStr">
        <is>
          <t>Environment Setup</t>
        </is>
      </c>
      <c r="C12" s="7" t="inlineStr">
        <is>
          <t>Là Hùng (Model), tôi muốn cài transformers/peft(&gt;=0.18)/GradCache; tải checkpoint SigLIP2/ViSigLIP-OT/CLIP, để smoke-test encode ảnh+text chạy không lỗi trên cả 2 backbone.</t>
        </is>
      </c>
      <c r="D12" s="7" t="inlineStr">
        <is>
          <t>Cài transformers/peft(&gt;=0.18)/GradCache; tải checkpoint SigLIP2/ViSigLIP-OT/CLIP</t>
        </is>
      </c>
      <c r="E12" s="7" t="inlineStr">
        <is>
          <t>Model</t>
        </is>
      </c>
      <c r="F12" s="7" t="inlineStr">
        <is>
          <t>High</t>
        </is>
      </c>
      <c r="G12" s="7" t="inlineStr">
        <is>
          <t>To Do</t>
        </is>
      </c>
      <c r="H12" s="7" t="inlineStr">
        <is>
          <t>Hùng</t>
        </is>
      </c>
      <c r="I12" s="7" t="n">
        <v>6</v>
      </c>
      <c r="J12" s="7" t="inlineStr"/>
      <c r="K12" s="7" t="inlineStr"/>
      <c r="L12" s="7" t="inlineStr"/>
      <c r="M12" s="7" t="inlineStr"/>
    </row>
    <row r="13">
      <c r="A13" s="7">
        <f>ROW()-11</f>
        <v/>
      </c>
      <c r="B13" s="7" t="inlineStr">
        <is>
          <t>Query Writing</t>
        </is>
      </c>
      <c r="C13" s="7" t="inlineStr">
        <is>
          <t>Là Hùng (Evaluation), tôi muốn viết ~50-65 truy vấn phần mình, để truy vấn tự nhiên, đúng phong cách người mua.</t>
        </is>
      </c>
      <c r="D13" s="7" t="inlineStr">
        <is>
          <t>Viết ~50-65 truy vấn phần mình</t>
        </is>
      </c>
      <c r="E13" s="7" t="inlineStr">
        <is>
          <t>Evaluation</t>
        </is>
      </c>
      <c r="F13" s="7" t="inlineStr">
        <is>
          <t>Medium</t>
        </is>
      </c>
      <c r="G13" s="7" t="inlineStr">
        <is>
          <t>To Do</t>
        </is>
      </c>
      <c r="H13" s="7" t="inlineStr">
        <is>
          <t>Hùng</t>
        </is>
      </c>
      <c r="I13" s="7" t="inlineStr"/>
      <c r="J13" s="7" t="n">
        <v>4</v>
      </c>
      <c r="K13" s="7" t="inlineStr"/>
      <c r="L13" s="7" t="inlineStr"/>
      <c r="M13" s="7" t="inlineStr"/>
    </row>
    <row r="14">
      <c r="A14" s="7">
        <f>ROW()-11</f>
        <v/>
      </c>
      <c r="B14" s="7" t="inlineStr">
        <is>
          <t>Query Design</t>
        </is>
      </c>
      <c r="C14" s="7" t="inlineStr">
        <is>
          <t>Là Hiếu (Evaluation), tôi muốn thiết kế phân tầng truy vấn (đơn/đa thuộc tính, phong cách...), để bản thiết kế phân tầng hoàn chỉnh.</t>
        </is>
      </c>
      <c r="D14" s="7" t="inlineStr">
        <is>
          <t>Thiết kế phân tầng truy vấn (đơn/đa thuộc tính, phong cách...)</t>
        </is>
      </c>
      <c r="E14" s="7" t="inlineStr">
        <is>
          <t>Evaluation</t>
        </is>
      </c>
      <c r="F14" s="7" t="inlineStr">
        <is>
          <t>High</t>
        </is>
      </c>
      <c r="G14" s="7" t="inlineStr">
        <is>
          <t>To Do</t>
        </is>
      </c>
      <c r="H14" s="7" t="inlineStr">
        <is>
          <t>Hiếu</t>
        </is>
      </c>
      <c r="I14" s="7" t="inlineStr"/>
      <c r="J14" s="7" t="n">
        <v>6</v>
      </c>
      <c r="K14" s="7" t="inlineStr"/>
      <c r="L14" s="7" t="inlineStr"/>
      <c r="M14" s="7" t="inlineStr"/>
    </row>
    <row r="15">
      <c r="A15" s="7">
        <f>ROW()-11</f>
        <v/>
      </c>
      <c r="B15" s="7" t="inlineStr">
        <is>
          <t>Query Writing</t>
        </is>
      </c>
      <c r="C15" s="7" t="inlineStr">
        <is>
          <t>Là Hiếu (Evaluation), tôi muốn viết ~50-65 truy vấn phần mình, để truy vấn tự nhiên, đúng phong cách người mua.</t>
        </is>
      </c>
      <c r="D15" s="7" t="inlineStr">
        <is>
          <t>Viết ~50-65 truy vấn phần mình</t>
        </is>
      </c>
      <c r="E15" s="7" t="inlineStr">
        <is>
          <t>Evaluation</t>
        </is>
      </c>
      <c r="F15" s="7" t="inlineStr">
        <is>
          <t>Medium</t>
        </is>
      </c>
      <c r="G15" s="7" t="inlineStr">
        <is>
          <t>To Do</t>
        </is>
      </c>
      <c r="H15" s="7" t="inlineStr">
        <is>
          <t>Hiếu</t>
        </is>
      </c>
      <c r="I15" s="7" t="inlineStr"/>
      <c r="J15" s="7" t="n">
        <v>4</v>
      </c>
      <c r="K15" s="7" t="inlineStr"/>
      <c r="L15" s="7" t="inlineStr"/>
      <c r="M15" s="7" t="inlineStr"/>
    </row>
    <row r="16">
      <c r="A16" s="7">
        <f>ROW()-11</f>
        <v/>
      </c>
      <c r="B16" s="7" t="inlineStr">
        <is>
          <t>Query Design</t>
        </is>
      </c>
      <c r="C16" s="7" t="inlineStr">
        <is>
          <t>Là Hiếu (Evaluation), tôi muốn viết công thức Recall@K / MRR / nDCG@10, để tài liệu tham chiếu chung cho evaluate.py.</t>
        </is>
      </c>
      <c r="D16" s="7" t="inlineStr">
        <is>
          <t>Viết công thức Recall@K / MRR / nDCG@10</t>
        </is>
      </c>
      <c r="E16" s="7" t="inlineStr">
        <is>
          <t>Evaluation</t>
        </is>
      </c>
      <c r="F16" s="7" t="inlineStr">
        <is>
          <t>Medium</t>
        </is>
      </c>
      <c r="G16" s="7" t="inlineStr">
        <is>
          <t>To Do</t>
        </is>
      </c>
      <c r="H16" s="7" t="inlineStr">
        <is>
          <t>Hiếu</t>
        </is>
      </c>
      <c r="I16" s="7" t="inlineStr"/>
      <c r="J16" s="7" t="n">
        <v>4</v>
      </c>
      <c r="K16" s="7" t="inlineStr"/>
      <c r="L16" s="7" t="inlineStr"/>
      <c r="M16" s="7" t="inlineStr"/>
    </row>
    <row r="17">
      <c r="A17" s="7">
        <f>ROW()-11</f>
        <v/>
      </c>
      <c r="B17" s="7" t="inlineStr">
        <is>
          <t>Dataset Selection</t>
        </is>
      </c>
      <c r="C17" s="7" t="inlineStr">
        <is>
          <t>Là Hiệp (Data), tôi muốn chọn &amp; tải dataset công khai, kiểm tra license, subsample 20-50k, để dataset tải xong, đúng license, đúng quy mô.</t>
        </is>
      </c>
      <c r="D17" s="7" t="inlineStr">
        <is>
          <t>Chọn &amp; tải dataset công khai, kiểm tra license, subsample 20-50k</t>
        </is>
      </c>
      <c r="E17" s="7" t="inlineStr">
        <is>
          <t>Data</t>
        </is>
      </c>
      <c r="F17" s="7" t="inlineStr">
        <is>
          <t>High</t>
        </is>
      </c>
      <c r="G17" s="7" t="inlineStr">
        <is>
          <t>To Do</t>
        </is>
      </c>
      <c r="H17" s="7" t="inlineStr">
        <is>
          <t>Hiệp</t>
        </is>
      </c>
      <c r="I17" s="7" t="n">
        <v>6</v>
      </c>
      <c r="J17" s="7" t="inlineStr"/>
      <c r="K17" s="7" t="inlineStr"/>
      <c r="L17" s="7" t="inlineStr"/>
      <c r="M17" s="7" t="inlineStr"/>
    </row>
    <row r="18">
      <c r="A18" s="7">
        <f>ROW()-11</f>
        <v/>
      </c>
      <c r="B18" s="7" t="inlineStr">
        <is>
          <t>Dataset Selection</t>
        </is>
      </c>
      <c r="C18" s="7" t="inlineStr">
        <is>
          <t>Là Hiệp (Data), tôi muốn ánh xạ danh mục gốc sang tiếng Việt, để bảng mapping danh mục hoàn chỉnh.</t>
        </is>
      </c>
      <c r="D18" s="7" t="inlineStr">
        <is>
          <t>Ánh xạ danh mục gốc sang tiếng Việt</t>
        </is>
      </c>
      <c r="E18" s="7" t="inlineStr">
        <is>
          <t>Data</t>
        </is>
      </c>
      <c r="F18" s="7" t="inlineStr">
        <is>
          <t>Medium</t>
        </is>
      </c>
      <c r="G18" s="7" t="inlineStr">
        <is>
          <t>To Do</t>
        </is>
      </c>
      <c r="H18" s="7" t="inlineStr">
        <is>
          <t>Hiệp</t>
        </is>
      </c>
      <c r="I18" s="7" t="n">
        <v>4</v>
      </c>
      <c r="J18" s="7" t="inlineStr"/>
      <c r="K18" s="7" t="inlineStr"/>
      <c r="L18" s="7" t="inlineStr"/>
      <c r="M18" s="7" t="inlineStr"/>
    </row>
    <row r="19">
      <c r="A19" s="7">
        <f>ROW()-11</f>
        <v/>
      </c>
      <c r="B19" s="7" t="inlineStr">
        <is>
          <t>Repo/Infra Setup</t>
        </is>
      </c>
      <c r="C19" s="7" t="inlineStr">
        <is>
          <t>Là Hiệp (Systems), tôi muốn dựng repo skeleton + Qdrant docker-compose + FastAPI skeleton + W&amp;B, để repo chạy được, docker-compose up thành công.</t>
        </is>
      </c>
      <c r="D19" s="7" t="inlineStr">
        <is>
          <t>Dựng repo skeleton + Qdrant docker-compose + FastAPI skeleton + W&amp;B</t>
        </is>
      </c>
      <c r="E19" s="7" t="inlineStr">
        <is>
          <t>Systems</t>
        </is>
      </c>
      <c r="F19" s="7" t="inlineStr">
        <is>
          <t>High</t>
        </is>
      </c>
      <c r="G19" s="7" t="inlineStr">
        <is>
          <t>To Do</t>
        </is>
      </c>
      <c r="H19" s="7" t="inlineStr">
        <is>
          <t>Hiệp</t>
        </is>
      </c>
      <c r="I19" s="7" t="n">
        <v>6</v>
      </c>
      <c r="J19" s="7" t="inlineStr"/>
      <c r="K19" s="7" t="inlineStr"/>
      <c r="L19" s="7" t="inlineStr"/>
      <c r="M19" s="7" t="inlineStr"/>
    </row>
    <row r="20">
      <c r="A20" s="7">
        <f>ROW()-11</f>
        <v/>
      </c>
      <c r="B20" s="7" t="inlineStr">
        <is>
          <t>Query Writing</t>
        </is>
      </c>
      <c r="C20" s="7" t="inlineStr">
        <is>
          <t>Là Hiệp (Evaluation), tôi muốn viết ~50-65 truy vấn phần mình, để truy vấn tự nhiên, đúng phong cách người mua.</t>
        </is>
      </c>
      <c r="D20" s="7" t="inlineStr">
        <is>
          <t>Viết ~50-65 truy vấn phần mình</t>
        </is>
      </c>
      <c r="E20" s="7" t="inlineStr">
        <is>
          <t>Evaluation</t>
        </is>
      </c>
      <c r="F20" s="7" t="inlineStr">
        <is>
          <t>Medium</t>
        </is>
      </c>
      <c r="G20" s="7" t="inlineStr">
        <is>
          <t>To Do</t>
        </is>
      </c>
      <c r="H20" s="7" t="inlineStr">
        <is>
          <t>Hiệp</t>
        </is>
      </c>
      <c r="I20" s="7" t="inlineStr"/>
      <c r="J20" s="7" t="n">
        <v>4</v>
      </c>
      <c r="K20" s="7" t="inlineStr"/>
      <c r="L20" s="7" t="inlineStr"/>
      <c r="M20" s="7" t="inlineStr"/>
    </row>
    <row r="21">
      <c r="A21" s="7">
        <f>ROW()-11</f>
        <v/>
      </c>
      <c r="B21" s="7" t="inlineStr">
        <is>
          <t>Dataset Selection</t>
        </is>
      </c>
      <c r="C21" s="7" t="inlineStr">
        <is>
          <t>Là Hưng (Data), tôi muốn chốt dataset công khai cụ thể, để đã chốt dataset, ghi lý do chọn.</t>
        </is>
      </c>
      <c r="D21" s="7" t="inlineStr">
        <is>
          <t>Chốt dataset công khai cụ thể</t>
        </is>
      </c>
      <c r="E21" s="7" t="inlineStr">
        <is>
          <t>Data</t>
        </is>
      </c>
      <c r="F21" s="7" t="inlineStr">
        <is>
          <t>High</t>
        </is>
      </c>
      <c r="G21" s="7" t="inlineStr">
        <is>
          <t>To Do</t>
        </is>
      </c>
      <c r="H21" s="7" t="inlineStr">
        <is>
          <t>Hưng</t>
        </is>
      </c>
      <c r="I21" s="7" t="n">
        <v>6</v>
      </c>
      <c r="J21" s="7" t="inlineStr"/>
      <c r="K21" s="7" t="inlineStr"/>
      <c r="L21" s="7" t="inlineStr"/>
      <c r="M21" s="7" t="inlineStr"/>
    </row>
    <row r="22">
      <c r="A22" s="7">
        <f>ROW()-11</f>
        <v/>
      </c>
      <c r="B22" s="7" t="inlineStr">
        <is>
          <t>Report Writing</t>
        </is>
      </c>
      <c r="C22" s="7" t="inlineStr">
        <is>
          <t>Là Hưng (Report), tôi muốn viết khung báo cáo + Mục 1-2 (bối cảnh, phân tích phương pháp), để draft Mục 1-2 hoàn chỉnh.</t>
        </is>
      </c>
      <c r="D22" s="7" t="inlineStr">
        <is>
          <t>Viết khung báo cáo + Mục 1-2 (bối cảnh, phân tích phương pháp)</t>
        </is>
      </c>
      <c r="E22" s="7" t="inlineStr">
        <is>
          <t>Report</t>
        </is>
      </c>
      <c r="F22" s="7" t="inlineStr">
        <is>
          <t>Medium</t>
        </is>
      </c>
      <c r="G22" s="7" t="inlineStr">
        <is>
          <t>To Do</t>
        </is>
      </c>
      <c r="H22" s="7" t="inlineStr">
        <is>
          <t>Hưng</t>
        </is>
      </c>
      <c r="I22" s="7" t="n">
        <v>4</v>
      </c>
      <c r="J22" s="7" t="inlineStr"/>
      <c r="K22" s="7" t="inlineStr"/>
      <c r="L22" s="7" t="inlineStr"/>
      <c r="M22" s="7" t="inlineStr"/>
    </row>
  </sheetData>
  <autoFilter ref="A11:M22"/>
  <conditionalFormatting sqref="G12:G22">
    <cfRule type="cellIs" priority="1" operator="equal" dxfId="0">
      <formula>"New"</formula>
    </cfRule>
    <cfRule type="cellIs" priority="3" operator="equal" dxfId="0">
      <formula>"To Do"</formula>
    </cfRule>
    <cfRule type="cellIs" priority="5" operator="equal" dxfId="0">
      <formula>"Todo"</formula>
    </cfRule>
    <cfRule type="cellIs" priority="7" operator="equal" dxfId="1">
      <formula>"In Progress"</formula>
    </cfRule>
    <cfRule type="cellIs" priority="9" operator="equal" dxfId="1">
      <formula>"Doing"</formula>
    </cfRule>
    <cfRule type="cellIs" priority="11" operator="equal" dxfId="1">
      <formula>"Testing"</formula>
    </cfRule>
    <cfRule type="cellIs" priority="13" operator="equal" dxfId="2">
      <formula>"Done"</formula>
    </cfRule>
    <cfRule type="cellIs" priority="15" operator="equal" dxfId="2">
      <formula>"Confirm"</formula>
    </cfRule>
    <cfRule type="cellIs" priority="17" operator="equal" dxfId="2">
      <formula>"Released"</formula>
    </cfRule>
    <cfRule type="cellIs" priority="19" operator="equal" dxfId="2">
      <formula>"Closed"</formula>
    </cfRule>
    <cfRule type="cellIs" priority="21" operator="equal" dxfId="3">
      <formula>"Reject"</formula>
    </cfRule>
    <cfRule type="cellIs" priority="23" operator="equal" dxfId="3">
      <formula>"Pending"</formula>
    </cfRule>
    <cfRule type="cellIs" priority="25" operator="equal" dxfId="3">
      <formula>"Blocked"</formula>
    </cfRule>
  </conditionalFormatting>
  <conditionalFormatting sqref="D3:D5">
    <cfRule type="cellIs" priority="2" operator="equal" dxfId="0">
      <formula>"New"</formula>
    </cfRule>
    <cfRule type="cellIs" priority="4" operator="equal" dxfId="0">
      <formula>"To Do"</formula>
    </cfRule>
    <cfRule type="cellIs" priority="6" operator="equal" dxfId="0">
      <formula>"Todo"</formula>
    </cfRule>
    <cfRule type="cellIs" priority="8" operator="equal" dxfId="1">
      <formula>"In Progress"</formula>
    </cfRule>
    <cfRule type="cellIs" priority="10" operator="equal" dxfId="1">
      <formula>"Doing"</formula>
    </cfRule>
    <cfRule type="cellIs" priority="12" operator="equal" dxfId="1">
      <formula>"Testing"</formula>
    </cfRule>
    <cfRule type="cellIs" priority="14" operator="equal" dxfId="2">
      <formula>"Done"</formula>
    </cfRule>
    <cfRule type="cellIs" priority="16" operator="equal" dxfId="2">
      <formula>"Confirm"</formula>
    </cfRule>
    <cfRule type="cellIs" priority="18" operator="equal" dxfId="2">
      <formula>"Released"</formula>
    </cfRule>
    <cfRule type="cellIs" priority="20" operator="equal" dxfId="2">
      <formula>"Closed"</formula>
    </cfRule>
    <cfRule type="cellIs" priority="22" operator="equal" dxfId="3">
      <formula>"Reject"</formula>
    </cfRule>
    <cfRule type="cellIs" priority="24" operator="equal" dxfId="3">
      <formula>"Pending"</formula>
    </cfRule>
    <cfRule type="cellIs" priority="26" operator="equal" dxfId="3">
      <formula>"Blocked"</formula>
    </cfRule>
  </conditionalFormatting>
  <dataValidations count="4">
    <dataValidation sqref="D3:D5" showDropDown="0" showInputMessage="0" showErrorMessage="0" allowBlank="1" type="list">
      <formula1>"To Do,Doing,Done,Confirm,Reject,Pending"</formula1>
    </dataValidation>
    <dataValidation sqref="G12:G22" showDropDown="0" showInputMessage="0" showErrorMessage="0" allowBlank="1" type="list">
      <formula1>"To Do,Doing,Done,Confirm,Reject,Pending"</formula1>
    </dataValidation>
    <dataValidation sqref="F12:F22" showDropDown="0" showInputMessage="0" showErrorMessage="0" allowBlank="1" type="list">
      <formula1>"High,Medium,Low"</formula1>
    </dataValidation>
    <dataValidation sqref="H12:H22" showDropDown="0" showInputMessage="0" showErrorMessage="0" allowBlank="1" type="list">
      <formula1>"Hưng,Hùng,Hiếu,Hiệp"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34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22" customWidth="1" min="13" max="13"/>
    <col width="8" customWidth="1" min="14" max="14"/>
    <col width="8" customWidth="1" min="15" max="15"/>
    <col width="22" customWidth="1" min="16" max="16"/>
  </cols>
  <sheetData>
    <row r="2">
      <c r="B2" s="14" t="inlineStr">
        <is>
          <t>MỤC TIÊU SPRINT</t>
        </is>
      </c>
      <c r="C2" s="15" t="n"/>
      <c r="D2" s="15" t="n"/>
      <c r="F2" s="14" t="inlineStr">
        <is>
          <t>DASHBOARD</t>
        </is>
      </c>
      <c r="G2" s="15" t="n"/>
      <c r="I2" s="14" t="inlineStr">
        <is>
          <t>GIỜ CÔNG</t>
        </is>
      </c>
      <c r="J2" s="15" t="n"/>
      <c r="K2" s="15" t="n"/>
      <c r="L2" s="15" t="n"/>
      <c r="M2" s="15" t="n"/>
      <c r="N2" s="15" t="n"/>
    </row>
    <row r="3">
      <c r="B3" t="inlineStr">
        <is>
          <t>Làm sạch &amp; chia tập dữ liệu</t>
        </is>
      </c>
      <c r="D3" t="inlineStr">
        <is>
          <t>To Do</t>
        </is>
      </c>
      <c r="F3" s="16" t="inlineStr">
        <is>
          <t>Total</t>
        </is>
      </c>
      <c r="G3" s="16">
        <f>COUNTA(A12:A23)</f>
        <v/>
      </c>
      <c r="I3" s="17" t="inlineStr">
        <is>
          <t>Member</t>
        </is>
      </c>
      <c r="J3" s="17" t="inlineStr">
        <is>
          <t>Mảng</t>
        </is>
      </c>
      <c r="K3" s="17" t="inlineStr">
        <is>
          <t>Tiêu chuẩn (h)</t>
        </is>
      </c>
      <c r="L3" s="17" t="inlineStr">
        <is>
          <t>Họp (h)</t>
        </is>
      </c>
      <c r="M3" s="17" t="inlineStr">
        <is>
          <t>Nghỉ (h)</t>
        </is>
      </c>
      <c r="N3" s="17" t="inlineStr">
        <is>
          <t>Tổng (h)</t>
        </is>
      </c>
    </row>
    <row r="4">
      <c r="B4" t="inlineStr">
        <is>
          <t>5 baseline zero-shot có số liệu</t>
        </is>
      </c>
      <c r="D4" t="inlineStr">
        <is>
          <t>To Do</t>
        </is>
      </c>
      <c r="F4" s="16" t="inlineStr">
        <is>
          <t>To Do</t>
        </is>
      </c>
      <c r="G4" s="16">
        <f>COUNTIF(G12:G23,"To Do")</f>
        <v/>
      </c>
      <c r="I4" t="inlineStr">
        <is>
          <t>Hùng</t>
        </is>
      </c>
      <c r="J4" t="inlineStr">
        <is>
          <t>Model &amp; Training</t>
        </is>
      </c>
      <c r="K4" t="n">
        <v>14</v>
      </c>
      <c r="L4" t="n">
        <v>2</v>
      </c>
      <c r="M4" t="n">
        <v>0</v>
      </c>
      <c r="N4">
        <f>K4-L4-M4</f>
        <v/>
      </c>
    </row>
    <row r="5">
      <c r="B5" t="inlineStr">
        <is>
          <t>Hoàn tất 150-200 truy vấn</t>
        </is>
      </c>
      <c r="D5" t="inlineStr">
        <is>
          <t>To Do</t>
        </is>
      </c>
      <c r="F5" s="16" t="inlineStr">
        <is>
          <t>Doing</t>
        </is>
      </c>
      <c r="G5" s="16">
        <f>COUNTIF(G12:G23,"Doing")</f>
        <v/>
      </c>
      <c r="I5" t="inlineStr">
        <is>
          <t>Hiếu</t>
        </is>
      </c>
      <c r="J5" t="inlineStr">
        <is>
          <t>Evaluation</t>
        </is>
      </c>
      <c r="K5" t="n">
        <v>20</v>
      </c>
      <c r="L5" t="n">
        <v>2</v>
      </c>
      <c r="M5" t="n">
        <v>0</v>
      </c>
      <c r="N5">
        <f>K5-L5-M5</f>
        <v/>
      </c>
    </row>
    <row r="6">
      <c r="F6" s="16" t="inlineStr">
        <is>
          <t>Done</t>
        </is>
      </c>
      <c r="G6" s="16">
        <f>COUNTIF(G12:G23,"Done")</f>
        <v/>
      </c>
      <c r="I6" t="inlineStr">
        <is>
          <t>Hiệp</t>
        </is>
      </c>
      <c r="J6" t="inlineStr">
        <is>
          <t>Data &amp; Systems</t>
        </is>
      </c>
      <c r="K6" t="n">
        <v>14</v>
      </c>
      <c r="L6" t="n">
        <v>2</v>
      </c>
      <c r="M6" t="n">
        <v>0</v>
      </c>
      <c r="N6">
        <f>K6-L6-M6</f>
        <v/>
      </c>
    </row>
    <row r="7">
      <c r="F7" s="16" t="inlineStr">
        <is>
          <t>Confirm</t>
        </is>
      </c>
      <c r="G7" s="16">
        <f>COUNTIF(G12:G23,"Confirm")</f>
        <v/>
      </c>
      <c r="I7" t="inlineStr">
        <is>
          <t>Hưng</t>
        </is>
      </c>
      <c r="J7" t="inlineStr">
        <is>
          <t>Data &amp; Report</t>
        </is>
      </c>
      <c r="K7" t="n">
        <v>18</v>
      </c>
      <c r="L7" t="n">
        <v>2</v>
      </c>
      <c r="M7" t="n">
        <v>0</v>
      </c>
      <c r="N7">
        <f>K7-L7-M7</f>
        <v/>
      </c>
    </row>
    <row r="8">
      <c r="F8" s="16" t="inlineStr">
        <is>
          <t>Reject</t>
        </is>
      </c>
      <c r="G8" s="16">
        <f>COUNTIF(G12:G23,"Reject")</f>
        <v/>
      </c>
      <c r="M8" s="17" t="inlineStr">
        <is>
          <t>Tổng</t>
        </is>
      </c>
      <c r="N8" s="17">
        <f>SUM(N4:N7)</f>
        <v/>
      </c>
    </row>
    <row r="9">
      <c r="F9" s="16" t="inlineStr">
        <is>
          <t>Pending</t>
        </is>
      </c>
      <c r="G9" s="16">
        <f>COUNTIF(G12:G23,"Pending")</f>
        <v/>
      </c>
      <c r="I9" s="17" t="inlineStr">
        <is>
          <t>Công số KH (h)</t>
        </is>
      </c>
      <c r="J9" s="17">
        <f>SUM(I12:J23)</f>
        <v/>
      </c>
      <c r="K9" s="17" t="inlineStr">
        <is>
          <t>Công số TT (h)</t>
        </is>
      </c>
      <c r="L9" s="17">
        <f>SUM(K12:L23)</f>
        <v/>
      </c>
      <c r="M9" s="17" t="inlineStr">
        <is>
          <t>Tỉ lệ TT/KH</t>
        </is>
      </c>
      <c r="N9" s="18">
        <f>IFERROR(L9/J9,0)</f>
        <v/>
      </c>
    </row>
    <row r="11" ht="30" customHeight="1">
      <c r="A11" s="6" t="inlineStr">
        <is>
          <t>No</t>
        </is>
      </c>
      <c r="B11" s="6" t="inlineStr">
        <is>
          <t>Epic</t>
        </is>
      </c>
      <c r="C11" s="6" t="inlineStr">
        <is>
          <t>US (user story)</t>
        </is>
      </c>
      <c r="D11" s="6" t="inlineStr">
        <is>
          <t>Output (Task)</t>
        </is>
      </c>
      <c r="E11" s="6" t="inlineStr">
        <is>
          <t>Type</t>
        </is>
      </c>
      <c r="F11" s="6" t="inlineStr">
        <is>
          <t>Priority</t>
        </is>
      </c>
      <c r="G11" s="6" t="inlineStr">
        <is>
          <t>Status</t>
        </is>
      </c>
      <c r="H11" s="6" t="inlineStr">
        <is>
          <t>PIC</t>
        </is>
      </c>
      <c r="I11" s="6" t="inlineStr">
        <is>
          <t>Dev (hour)</t>
        </is>
      </c>
      <c r="J11" s="6" t="inlineStr">
        <is>
          <t>Test (hour)</t>
        </is>
      </c>
      <c r="K11" s="6" t="inlineStr">
        <is>
          <t>Dev Actual (h)</t>
        </is>
      </c>
      <c r="L11" s="6" t="inlineStr">
        <is>
          <t>Test Actual (h)</t>
        </is>
      </c>
      <c r="M11" s="6" t="inlineStr">
        <is>
          <t>Note</t>
        </is>
      </c>
    </row>
    <row r="12">
      <c r="A12" s="7" t="inlineStr">
        <is>
          <t>1</t>
        </is>
      </c>
      <c r="B12" s="7" t="inlineStr">
        <is>
          <t>Zero-shot Baselines</t>
        </is>
      </c>
      <c r="C12" s="7" t="inlineStr">
        <is>
          <t>Là Hùng (Model), tôi muốn baseline CLIP ViT-B/32 zero-shot, để có số Recall@1/5/10, MRR, nDCG@10.</t>
        </is>
      </c>
      <c r="D12" s="7" t="inlineStr">
        <is>
          <t>Baseline CLIP ViT-B/32 zero-shot</t>
        </is>
      </c>
      <c r="E12" s="7" t="inlineStr">
        <is>
          <t>Model</t>
        </is>
      </c>
      <c r="F12" s="7" t="inlineStr">
        <is>
          <t>High</t>
        </is>
      </c>
      <c r="G12" s="7" t="inlineStr">
        <is>
          <t>To Do</t>
        </is>
      </c>
      <c r="H12" s="7" t="inlineStr">
        <is>
          <t>Hùng</t>
        </is>
      </c>
      <c r="I12" s="7" t="n">
        <v>6</v>
      </c>
      <c r="J12" s="7" t="inlineStr"/>
      <c r="K12" s="7" t="inlineStr"/>
      <c r="L12" s="7" t="inlineStr"/>
      <c r="M12" s="7" t="inlineStr"/>
    </row>
    <row r="13">
      <c r="A13" s="7">
        <f>ROW()-11</f>
        <v/>
      </c>
      <c r="B13" s="7" t="inlineStr">
        <is>
          <t>Zero-shot Baselines</t>
        </is>
      </c>
      <c r="C13" s="7" t="inlineStr">
        <is>
          <t>Là Hùng (Model), tôi muốn baseline SigLIP 2 zero-shot (tiếng Việt trực tiếp), để có số liệu đầy đủ.</t>
        </is>
      </c>
      <c r="D13" s="7" t="inlineStr">
        <is>
          <t>Baseline SigLIP 2 zero-shot (tiếng Việt trực tiếp)</t>
        </is>
      </c>
      <c r="E13" s="7" t="inlineStr">
        <is>
          <t>Model</t>
        </is>
      </c>
      <c r="F13" s="7" t="inlineStr">
        <is>
          <t>High</t>
        </is>
      </c>
      <c r="G13" s="7" t="inlineStr">
        <is>
          <t>To Do</t>
        </is>
      </c>
      <c r="H13" s="7" t="inlineStr">
        <is>
          <t>Hùng</t>
        </is>
      </c>
      <c r="I13" s="7" t="n">
        <v>6</v>
      </c>
      <c r="J13" s="7" t="inlineStr"/>
      <c r="K13" s="7" t="inlineStr"/>
      <c r="L13" s="7" t="inlineStr"/>
      <c r="M13" s="7" t="inlineStr"/>
    </row>
    <row r="14">
      <c r="A14" s="7">
        <f>ROW()-11</f>
        <v/>
      </c>
      <c r="B14" s="7" t="inlineStr">
        <is>
          <t>Zero-shot Baselines</t>
        </is>
      </c>
      <c r="C14" s="7" t="inlineStr">
        <is>
          <t>Là Hùng (Model), tôi muốn baseline SigLIP 2 zero-shot + dịch máy Việt-&gt;Anh, để có số liệu đầy đủ.</t>
        </is>
      </c>
      <c r="D14" s="7" t="inlineStr">
        <is>
          <t>Baseline SigLIP 2 zero-shot + dịch máy Việt-&gt;Anh</t>
        </is>
      </c>
      <c r="E14" s="7" t="inlineStr">
        <is>
          <t>Model</t>
        </is>
      </c>
      <c r="F14" s="7" t="inlineStr">
        <is>
          <t>High</t>
        </is>
      </c>
      <c r="G14" s="7" t="inlineStr">
        <is>
          <t>To Do</t>
        </is>
      </c>
      <c r="H14" s="7" t="inlineStr">
        <is>
          <t>Hùng</t>
        </is>
      </c>
      <c r="I14" s="7" t="n">
        <v>6</v>
      </c>
      <c r="J14" s="7" t="inlineStr"/>
      <c r="K14" s="7" t="inlineStr"/>
      <c r="L14" s="7" t="inlineStr"/>
      <c r="M14" s="7" t="inlineStr"/>
    </row>
    <row r="15">
      <c r="A15" s="7">
        <f>ROW()-11</f>
        <v/>
      </c>
      <c r="B15" s="7" t="inlineStr">
        <is>
          <t>Zero-shot Baselines</t>
        </is>
      </c>
      <c r="C15" s="7" t="inlineStr">
        <is>
          <t>Là Hùng (Model), tôi muốn baseline ViSigLIP-OT zero-shot (bản ngữ tiếng Việt), để có số liệu đầy đủ.</t>
        </is>
      </c>
      <c r="D15" s="7" t="inlineStr">
        <is>
          <t>Baseline ViSigLIP-OT zero-shot (bản ngữ tiếng Việt)</t>
        </is>
      </c>
      <c r="E15" s="7" t="inlineStr">
        <is>
          <t>Model</t>
        </is>
      </c>
      <c r="F15" s="7" t="inlineStr">
        <is>
          <t>High</t>
        </is>
      </c>
      <c r="G15" s="7" t="inlineStr">
        <is>
          <t>To Do</t>
        </is>
      </c>
      <c r="H15" s="7" t="inlineStr">
        <is>
          <t>Hùng</t>
        </is>
      </c>
      <c r="I15" s="7" t="n">
        <v>6</v>
      </c>
      <c r="J15" s="7" t="inlineStr"/>
      <c r="K15" s="7" t="inlineStr"/>
      <c r="L15" s="7" t="inlineStr"/>
      <c r="M15" s="7" t="inlineStr"/>
    </row>
    <row r="16">
      <c r="A16" s="7">
        <f>ROW()-11</f>
        <v/>
      </c>
      <c r="B16" s="7" t="inlineStr">
        <is>
          <t>Query Finalization</t>
        </is>
      </c>
      <c r="C16" s="7" t="inlineStr">
        <is>
          <t>Là Hiếu (Evaluation), tôi muốn gộp &amp; hoàn tất 150-200 truy vấn -&gt; queries.json, để đủ số lượng + đủ phân tầng, gộp từ cả 3 người.</t>
        </is>
      </c>
      <c r="D16" s="7" t="inlineStr">
        <is>
          <t>Gộp &amp; hoàn tất 150-200 truy vấn -&gt; queries.json</t>
        </is>
      </c>
      <c r="E16" s="7" t="inlineStr">
        <is>
          <t>Evaluation</t>
        </is>
      </c>
      <c r="F16" s="7" t="inlineStr">
        <is>
          <t>High</t>
        </is>
      </c>
      <c r="G16" s="7" t="inlineStr">
        <is>
          <t>To Do</t>
        </is>
      </c>
      <c r="H16" s="7" t="inlineStr">
        <is>
          <t>Hiếu</t>
        </is>
      </c>
      <c r="I16" s="7" t="inlineStr"/>
      <c r="J16" s="7" t="n">
        <v>6</v>
      </c>
      <c r="K16" s="7" t="inlineStr"/>
      <c r="L16" s="7" t="inlineStr"/>
      <c r="M16" s="7" t="inlineStr"/>
    </row>
    <row r="17">
      <c r="A17" s="7">
        <f>ROW()-11</f>
        <v/>
      </c>
      <c r="B17" s="7" t="inlineStr">
        <is>
          <t>Query Finalization</t>
        </is>
      </c>
      <c r="C17" s="7" t="inlineStr">
        <is>
          <t>Là Hiếu (Evaluation), tôi muốn cài evaluate.py (Recall/MRR/nDCG), để chạy được trên dữ liệu mẫu, không lỗi.</t>
        </is>
      </c>
      <c r="D17" s="7" t="inlineStr">
        <is>
          <t>Cài evaluate.py (Recall/MRR/nDCG)</t>
        </is>
      </c>
      <c r="E17" s="7" t="inlineStr">
        <is>
          <t>Evaluation</t>
        </is>
      </c>
      <c r="F17" s="7" t="inlineStr">
        <is>
          <t>High</t>
        </is>
      </c>
      <c r="G17" s="7" t="inlineStr">
        <is>
          <t>To Do</t>
        </is>
      </c>
      <c r="H17" s="7" t="inlineStr">
        <is>
          <t>Hiếu</t>
        </is>
      </c>
      <c r="I17" s="7" t="inlineStr"/>
      <c r="J17" s="7" t="n">
        <v>6</v>
      </c>
      <c r="K17" s="7" t="inlineStr"/>
      <c r="L17" s="7" t="inlineStr"/>
      <c r="M17" s="7" t="inlineStr"/>
    </row>
    <row r="18">
      <c r="A18" s="7">
        <f>ROW()-11</f>
        <v/>
      </c>
      <c r="B18" s="7" t="inlineStr">
        <is>
          <t>Zero-shot Baselines</t>
        </is>
      </c>
      <c r="C18" s="7" t="inlineStr">
        <is>
          <t>Là Hiếu (Evaluation), tôi muốn baseline BM25 trên tên + mô tả, để có số liệu.</t>
        </is>
      </c>
      <c r="D18" s="7" t="inlineStr">
        <is>
          <t>Baseline BM25 trên tên + mô tả</t>
        </is>
      </c>
      <c r="E18" s="7" t="inlineStr">
        <is>
          <t>Evaluation</t>
        </is>
      </c>
      <c r="F18" s="7" t="inlineStr">
        <is>
          <t>Medium</t>
        </is>
      </c>
      <c r="G18" s="7" t="inlineStr">
        <is>
          <t>To Do</t>
        </is>
      </c>
      <c r="H18" s="7" t="inlineStr">
        <is>
          <t>Hiếu</t>
        </is>
      </c>
      <c r="I18" s="7" t="inlineStr"/>
      <c r="J18" s="7" t="n">
        <v>4</v>
      </c>
      <c r="K18" s="7" t="inlineStr"/>
      <c r="L18" s="7" t="inlineStr"/>
      <c r="M18" s="7" t="inlineStr"/>
    </row>
    <row r="19">
      <c r="A19" s="7">
        <f>ROW()-11</f>
        <v/>
      </c>
      <c r="B19" s="7" t="inlineStr">
        <is>
          <t>Data Cleaning &amp; Split</t>
        </is>
      </c>
      <c r="C19" s="7" t="inlineStr">
        <is>
          <t>Là Hiệp (Data), tôi muốn làm sạch dataset (dedup perceptual hash, lọc danh mục), để dataset sạch, không còn ảnh lỗi/trùng.</t>
        </is>
      </c>
      <c r="D19" s="7" t="inlineStr">
        <is>
          <t>Làm sạch dataset (dedup perceptual hash, lọc danh mục)</t>
        </is>
      </c>
      <c r="E19" s="7" t="inlineStr">
        <is>
          <t>Data</t>
        </is>
      </c>
      <c r="F19" s="7" t="inlineStr">
        <is>
          <t>High</t>
        </is>
      </c>
      <c r="G19" s="7" t="inlineStr">
        <is>
          <t>To Do</t>
        </is>
      </c>
      <c r="H19" s="7" t="inlineStr">
        <is>
          <t>Hiệp</t>
        </is>
      </c>
      <c r="I19" s="7" t="n">
        <v>6</v>
      </c>
      <c r="J19" s="7" t="inlineStr"/>
      <c r="K19" s="7" t="inlineStr"/>
      <c r="L19" s="7" t="inlineStr"/>
      <c r="M19" s="7" t="inlineStr"/>
    </row>
    <row r="20">
      <c r="A20" s="7">
        <f>ROW()-11</f>
        <v/>
      </c>
      <c r="B20" s="7" t="inlineStr">
        <is>
          <t>Data Cleaning &amp; Split</t>
        </is>
      </c>
      <c r="C20" s="7" t="inlineStr">
        <is>
          <t>Là Hiệp (Data), tôi muốn dùng split chính thức hoặc tự chia 70/15/15 theo sản phẩm + thống kê phân bố + gắn cờ danh mục 0 mẫu, để báo cáo thống kê + danh sách danh mục 0 mẫu.</t>
        </is>
      </c>
      <c r="D20" s="7" t="inlineStr">
        <is>
          <t>Dùng split chính thức hoặc tự chia 70/15/15 theo sản phẩm + thống kê phân bố + gắn cờ danh mục 0 mẫu</t>
        </is>
      </c>
      <c r="E20" s="7" t="inlineStr">
        <is>
          <t>Data</t>
        </is>
      </c>
      <c r="F20" s="7" t="inlineStr">
        <is>
          <t>High</t>
        </is>
      </c>
      <c r="G20" s="7" t="inlineStr">
        <is>
          <t>To Do</t>
        </is>
      </c>
      <c r="H20" s="7" t="inlineStr">
        <is>
          <t>Hiệp</t>
        </is>
      </c>
      <c r="I20" s="7" t="n">
        <v>6</v>
      </c>
      <c r="J20" s="7" t="inlineStr"/>
      <c r="K20" s="7" t="inlineStr"/>
      <c r="L20" s="7" t="inlineStr"/>
      <c r="M20" s="7" t="inlineStr"/>
    </row>
    <row r="21">
      <c r="A21" s="7">
        <f>ROW()-11</f>
        <v/>
      </c>
      <c r="B21" s="7" t="inlineStr">
        <is>
          <t>Qdrant Indexing</t>
        </is>
      </c>
      <c r="C21" s="7" t="inlineStr">
        <is>
          <t>Là Hiệp (Systems), tôi muốn index toàn bộ dataset vào Qdrant (HNSW + metadata), để truy vấn thử trả kết quả đúng.</t>
        </is>
      </c>
      <c r="D21" s="7" t="inlineStr">
        <is>
          <t>Index toàn bộ dataset vào Qdrant (HNSW + metadata)</t>
        </is>
      </c>
      <c r="E21" s="7" t="inlineStr">
        <is>
          <t>Systems</t>
        </is>
      </c>
      <c r="F21" s="7" t="inlineStr">
        <is>
          <t>High</t>
        </is>
      </c>
      <c r="G21" s="7" t="inlineStr">
        <is>
          <t>To Do</t>
        </is>
      </c>
      <c r="H21" s="7" t="inlineStr">
        <is>
          <t>Hiệp</t>
        </is>
      </c>
      <c r="I21" s="7" t="n">
        <v>6</v>
      </c>
      <c r="J21" s="7" t="inlineStr"/>
      <c r="K21" s="7" t="inlineStr"/>
      <c r="L21" s="7" t="inlineStr"/>
      <c r="M21" s="7" t="inlineStr"/>
    </row>
    <row r="22">
      <c r="A22" s="7">
        <f>ROW()-11</f>
        <v/>
      </c>
      <c r="B22" s="7" t="inlineStr">
        <is>
          <t>Zero-shot Baselines</t>
        </is>
      </c>
      <c r="C22" s="7" t="inlineStr">
        <is>
          <t>Là Hiệp (Model), tôi muốn baseline ResNet-50 + KNN cosine, để có số liệu.</t>
        </is>
      </c>
      <c r="D22" s="7" t="inlineStr">
        <is>
          <t>Baseline ResNet-50 + KNN cosine</t>
        </is>
      </c>
      <c r="E22" s="7" t="inlineStr">
        <is>
          <t>Model</t>
        </is>
      </c>
      <c r="F22" s="7" t="inlineStr">
        <is>
          <t>Medium</t>
        </is>
      </c>
      <c r="G22" s="7" t="inlineStr">
        <is>
          <t>To Do</t>
        </is>
      </c>
      <c r="H22" s="7" t="inlineStr">
        <is>
          <t>Hiệp</t>
        </is>
      </c>
      <c r="I22" s="7" t="n">
        <v>4</v>
      </c>
      <c r="J22" s="7" t="inlineStr"/>
      <c r="K22" s="7" t="inlineStr"/>
      <c r="L22" s="7" t="inlineStr"/>
      <c r="M22" s="7" t="inlineStr"/>
    </row>
    <row r="23">
      <c r="A23" s="7">
        <f>ROW()-11</f>
        <v/>
      </c>
      <c r="B23" s="7" t="inlineStr">
        <is>
          <t>Report Writing</t>
        </is>
      </c>
      <c r="C23" s="7" t="inlineStr">
        <is>
          <t>Là Hưng (Report), tôi muốn viết Mục 3.1-3.2 báo cáo (kiến trúc tổng thể, dữ liệu), để draft Mục 3.1-3.2 hoàn chỉnh, dựa trên số liệu Hiệp.</t>
        </is>
      </c>
      <c r="D23" s="7" t="inlineStr">
        <is>
          <t>Viết Mục 3.1-3.2 báo cáo (kiến trúc tổng thể, dữ liệu)</t>
        </is>
      </c>
      <c r="E23" s="7" t="inlineStr">
        <is>
          <t>Report</t>
        </is>
      </c>
      <c r="F23" s="7" t="inlineStr">
        <is>
          <t>Medium</t>
        </is>
      </c>
      <c r="G23" s="7" t="inlineStr">
        <is>
          <t>To Do</t>
        </is>
      </c>
      <c r="H23" s="7" t="inlineStr">
        <is>
          <t>Hưng</t>
        </is>
      </c>
      <c r="I23" s="7" t="n">
        <v>4</v>
      </c>
      <c r="J23" s="7" t="inlineStr"/>
      <c r="K23" s="7" t="inlineStr"/>
      <c r="L23" s="7" t="inlineStr"/>
      <c r="M23" s="7" t="inlineStr"/>
    </row>
  </sheetData>
  <autoFilter ref="A11:M23"/>
  <conditionalFormatting sqref="G12:G23">
    <cfRule type="cellIs" priority="1" operator="equal" dxfId="0">
      <formula>"New"</formula>
    </cfRule>
    <cfRule type="cellIs" priority="3" operator="equal" dxfId="0">
      <formula>"To Do"</formula>
    </cfRule>
    <cfRule type="cellIs" priority="5" operator="equal" dxfId="0">
      <formula>"Todo"</formula>
    </cfRule>
    <cfRule type="cellIs" priority="7" operator="equal" dxfId="1">
      <formula>"In Progress"</formula>
    </cfRule>
    <cfRule type="cellIs" priority="9" operator="equal" dxfId="1">
      <formula>"Doing"</formula>
    </cfRule>
    <cfRule type="cellIs" priority="11" operator="equal" dxfId="1">
      <formula>"Testing"</formula>
    </cfRule>
    <cfRule type="cellIs" priority="13" operator="equal" dxfId="2">
      <formula>"Done"</formula>
    </cfRule>
    <cfRule type="cellIs" priority="15" operator="equal" dxfId="2">
      <formula>"Confirm"</formula>
    </cfRule>
    <cfRule type="cellIs" priority="17" operator="equal" dxfId="2">
      <formula>"Released"</formula>
    </cfRule>
    <cfRule type="cellIs" priority="19" operator="equal" dxfId="2">
      <formula>"Closed"</formula>
    </cfRule>
    <cfRule type="cellIs" priority="21" operator="equal" dxfId="3">
      <formula>"Reject"</formula>
    </cfRule>
    <cfRule type="cellIs" priority="23" operator="equal" dxfId="3">
      <formula>"Pending"</formula>
    </cfRule>
    <cfRule type="cellIs" priority="25" operator="equal" dxfId="3">
      <formula>"Blocked"</formula>
    </cfRule>
  </conditionalFormatting>
  <conditionalFormatting sqref="D3:D5">
    <cfRule type="cellIs" priority="2" operator="equal" dxfId="0">
      <formula>"New"</formula>
    </cfRule>
    <cfRule type="cellIs" priority="4" operator="equal" dxfId="0">
      <formula>"To Do"</formula>
    </cfRule>
    <cfRule type="cellIs" priority="6" operator="equal" dxfId="0">
      <formula>"Todo"</formula>
    </cfRule>
    <cfRule type="cellIs" priority="8" operator="equal" dxfId="1">
      <formula>"In Progress"</formula>
    </cfRule>
    <cfRule type="cellIs" priority="10" operator="equal" dxfId="1">
      <formula>"Doing"</formula>
    </cfRule>
    <cfRule type="cellIs" priority="12" operator="equal" dxfId="1">
      <formula>"Testing"</formula>
    </cfRule>
    <cfRule type="cellIs" priority="14" operator="equal" dxfId="2">
      <formula>"Done"</formula>
    </cfRule>
    <cfRule type="cellIs" priority="16" operator="equal" dxfId="2">
      <formula>"Confirm"</formula>
    </cfRule>
    <cfRule type="cellIs" priority="18" operator="equal" dxfId="2">
      <formula>"Released"</formula>
    </cfRule>
    <cfRule type="cellIs" priority="20" operator="equal" dxfId="2">
      <formula>"Closed"</formula>
    </cfRule>
    <cfRule type="cellIs" priority="22" operator="equal" dxfId="3">
      <formula>"Reject"</formula>
    </cfRule>
    <cfRule type="cellIs" priority="24" operator="equal" dxfId="3">
      <formula>"Pending"</formula>
    </cfRule>
    <cfRule type="cellIs" priority="26" operator="equal" dxfId="3">
      <formula>"Blocked"</formula>
    </cfRule>
  </conditionalFormatting>
  <dataValidations count="4">
    <dataValidation sqref="D3:D5" showDropDown="0" showInputMessage="0" showErrorMessage="0" allowBlank="1" type="list">
      <formula1>"To Do,Doing,Done,Confirm,Reject,Pending"</formula1>
    </dataValidation>
    <dataValidation sqref="G12:G23" showDropDown="0" showInputMessage="0" showErrorMessage="0" allowBlank="1" type="list">
      <formula1>"To Do,Doing,Done,Confirm,Reject,Pending"</formula1>
    </dataValidation>
    <dataValidation sqref="F12:F23" showDropDown="0" showInputMessage="0" showErrorMessage="0" allowBlank="1" type="list">
      <formula1>"High,Medium,Low"</formula1>
    </dataValidation>
    <dataValidation sqref="H12:H23" showDropDown="0" showInputMessage="0" showErrorMessage="0" allowBlank="1" type="list">
      <formula1>"Hưng,Hùng,Hiếu,Hiệp"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34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22" customWidth="1" min="13" max="13"/>
    <col width="8" customWidth="1" min="14" max="14"/>
    <col width="8" customWidth="1" min="15" max="15"/>
    <col width="22" customWidth="1" min="16" max="16"/>
  </cols>
  <sheetData>
    <row r="2">
      <c r="B2" s="14" t="inlineStr">
        <is>
          <t>MỤC TIÊU SPRINT</t>
        </is>
      </c>
      <c r="C2" s="15" t="n"/>
      <c r="D2" s="15" t="n"/>
      <c r="F2" s="14" t="inlineStr">
        <is>
          <t>DASHBOARD</t>
        </is>
      </c>
      <c r="G2" s="15" t="n"/>
      <c r="I2" s="14" t="inlineStr">
        <is>
          <t>GIỜ CÔNG</t>
        </is>
      </c>
      <c r="J2" s="15" t="n"/>
      <c r="K2" s="15" t="n"/>
      <c r="L2" s="15" t="n"/>
      <c r="M2" s="15" t="n"/>
      <c r="N2" s="15" t="n"/>
    </row>
    <row r="3">
      <c r="B3" t="inlineStr">
        <is>
          <t>Pipeline zero-shot đầu-cuối (2 backbone)</t>
        </is>
      </c>
      <c r="D3" t="inlineStr">
        <is>
          <t>To Do</t>
        </is>
      </c>
      <c r="F3" s="16" t="inlineStr">
        <is>
          <t>Total</t>
        </is>
      </c>
      <c r="G3" s="16">
        <f>COUNTA(A12:A21)</f>
        <v/>
      </c>
      <c r="I3" s="17" t="inlineStr">
        <is>
          <t>Member</t>
        </is>
      </c>
      <c r="J3" s="17" t="inlineStr">
        <is>
          <t>Mảng</t>
        </is>
      </c>
      <c r="K3" s="17" t="inlineStr">
        <is>
          <t>Tiêu chuẩn (h)</t>
        </is>
      </c>
      <c r="L3" s="17" t="inlineStr">
        <is>
          <t>Họp (h)</t>
        </is>
      </c>
      <c r="M3" s="17" t="inlineStr">
        <is>
          <t>Nghỉ (h)</t>
        </is>
      </c>
      <c r="N3" s="17" t="inlineStr">
        <is>
          <t>Tổng (h)</t>
        </is>
      </c>
    </row>
    <row r="4">
      <c r="B4" t="inlineStr">
        <is>
          <t>Chấm nhãn xong</t>
        </is>
      </c>
      <c r="D4" t="inlineStr">
        <is>
          <t>To Do</t>
        </is>
      </c>
      <c r="F4" s="16" t="inlineStr">
        <is>
          <t>To Do</t>
        </is>
      </c>
      <c r="G4" s="16">
        <f>COUNTIF(G12:G21,"To Do")</f>
        <v/>
      </c>
      <c r="I4" t="inlineStr">
        <is>
          <t>Hùng</t>
        </is>
      </c>
      <c r="J4" t="inlineStr">
        <is>
          <t>Model &amp; Training</t>
        </is>
      </c>
      <c r="K4" t="n">
        <v>22</v>
      </c>
      <c r="L4" t="n">
        <v>3</v>
      </c>
      <c r="M4" t="n">
        <v>0</v>
      </c>
      <c r="N4">
        <f>K4-L4-M4</f>
        <v/>
      </c>
    </row>
    <row r="5">
      <c r="B5" t="inlineStr">
        <is>
          <t>Fine-tune vòng 1 bắt đầu chạy</t>
        </is>
      </c>
      <c r="D5" t="inlineStr">
        <is>
          <t>To Do</t>
        </is>
      </c>
      <c r="F5" s="16" t="inlineStr">
        <is>
          <t>Doing</t>
        </is>
      </c>
      <c r="G5" s="16">
        <f>COUNTIF(G12:G21,"Doing")</f>
        <v/>
      </c>
      <c r="I5" t="inlineStr">
        <is>
          <t>Hiếu</t>
        </is>
      </c>
      <c r="J5" t="inlineStr">
        <is>
          <t>Evaluation</t>
        </is>
      </c>
      <c r="K5" t="n">
        <v>20</v>
      </c>
      <c r="L5" t="n">
        <v>3</v>
      </c>
      <c r="M5" t="n">
        <v>0</v>
      </c>
      <c r="N5">
        <f>K5-L5-M5</f>
        <v/>
      </c>
    </row>
    <row r="6">
      <c r="F6" s="16" t="inlineStr">
        <is>
          <t>Done</t>
        </is>
      </c>
      <c r="G6" s="16">
        <f>COUNTIF(G12:G21,"Done")</f>
        <v/>
      </c>
      <c r="I6" t="inlineStr">
        <is>
          <t>Hiệp</t>
        </is>
      </c>
      <c r="J6" t="inlineStr">
        <is>
          <t>Data &amp; Systems</t>
        </is>
      </c>
      <c r="K6" t="n">
        <v>16</v>
      </c>
      <c r="L6" t="n">
        <v>3</v>
      </c>
      <c r="M6" t="n">
        <v>0</v>
      </c>
      <c r="N6">
        <f>K6-L6-M6</f>
        <v/>
      </c>
    </row>
    <row r="7">
      <c r="F7" s="16" t="inlineStr">
        <is>
          <t>Confirm</t>
        </is>
      </c>
      <c r="G7" s="16">
        <f>COUNTIF(G12:G21,"Confirm")</f>
        <v/>
      </c>
      <c r="I7" t="inlineStr">
        <is>
          <t>Hưng</t>
        </is>
      </c>
      <c r="J7" t="inlineStr">
        <is>
          <t>Data &amp; Report</t>
        </is>
      </c>
      <c r="K7" t="n">
        <v>18</v>
      </c>
      <c r="L7" t="n">
        <v>3</v>
      </c>
      <c r="M7" t="n">
        <v>0</v>
      </c>
      <c r="N7">
        <f>K7-L7-M7</f>
        <v/>
      </c>
    </row>
    <row r="8">
      <c r="F8" s="16" t="inlineStr">
        <is>
          <t>Reject</t>
        </is>
      </c>
      <c r="G8" s="16">
        <f>COUNTIF(G12:G21,"Reject")</f>
        <v/>
      </c>
      <c r="M8" s="17" t="inlineStr">
        <is>
          <t>Tổng</t>
        </is>
      </c>
      <c r="N8" s="17">
        <f>SUM(N4:N7)</f>
        <v/>
      </c>
    </row>
    <row r="9">
      <c r="F9" s="16" t="inlineStr">
        <is>
          <t>Pending</t>
        </is>
      </c>
      <c r="G9" s="16">
        <f>COUNTIF(G12:G21,"Pending")</f>
        <v/>
      </c>
      <c r="I9" s="17" t="inlineStr">
        <is>
          <t>Công số KH (h)</t>
        </is>
      </c>
      <c r="J9" s="17">
        <f>SUM(I12:J21)</f>
        <v/>
      </c>
      <c r="K9" s="17" t="inlineStr">
        <is>
          <t>Công số TT (h)</t>
        </is>
      </c>
      <c r="L9" s="17">
        <f>SUM(K12:L21)</f>
        <v/>
      </c>
      <c r="M9" s="17" t="inlineStr">
        <is>
          <t>Tỉ lệ TT/KH</t>
        </is>
      </c>
      <c r="N9" s="18">
        <f>IFERROR(L9/J9,0)</f>
        <v/>
      </c>
    </row>
    <row r="11" ht="30" customHeight="1">
      <c r="A11" s="6" t="inlineStr">
        <is>
          <t>No</t>
        </is>
      </c>
      <c r="B11" s="6" t="inlineStr">
        <is>
          <t>Epic</t>
        </is>
      </c>
      <c r="C11" s="6" t="inlineStr">
        <is>
          <t>US (user story)</t>
        </is>
      </c>
      <c r="D11" s="6" t="inlineStr">
        <is>
          <t>Output (Task)</t>
        </is>
      </c>
      <c r="E11" s="6" t="inlineStr">
        <is>
          <t>Type</t>
        </is>
      </c>
      <c r="F11" s="6" t="inlineStr">
        <is>
          <t>Priority</t>
        </is>
      </c>
      <c r="G11" s="6" t="inlineStr">
        <is>
          <t>Status</t>
        </is>
      </c>
      <c r="H11" s="6" t="inlineStr">
        <is>
          <t>PIC</t>
        </is>
      </c>
      <c r="I11" s="6" t="inlineStr">
        <is>
          <t>Dev (hour)</t>
        </is>
      </c>
      <c r="J11" s="6" t="inlineStr">
        <is>
          <t>Test (hour)</t>
        </is>
      </c>
      <c r="K11" s="6" t="inlineStr">
        <is>
          <t>Dev Actual (h)</t>
        </is>
      </c>
      <c r="L11" s="6" t="inlineStr">
        <is>
          <t>Test Actual (h)</t>
        </is>
      </c>
      <c r="M11" s="6" t="inlineStr">
        <is>
          <t>Note</t>
        </is>
      </c>
    </row>
    <row r="12">
      <c r="A12" s="7" t="inlineStr">
        <is>
          <t>1</t>
        </is>
      </c>
      <c r="B12" s="7" t="inlineStr">
        <is>
          <t>End-to-end Pipeline</t>
        </is>
      </c>
      <c r="C12" s="7" t="inlineStr">
        <is>
          <t>Là Hùng (Model), tôi muốn hoàn thiện pipeline zero-shot đầu-cuối (SigLIP 2 + ViSigLIP-OT) qua Qdrant, để text-&gt;ảnh và ảnh-&gt;ảnh chạy được thật.</t>
        </is>
      </c>
      <c r="D12" s="7" t="inlineStr">
        <is>
          <t>Hoàn thiện pipeline zero-shot đầu-cuối (SigLIP 2 + ViSigLIP-OT) qua Qdrant</t>
        </is>
      </c>
      <c r="E12" s="7" t="inlineStr">
        <is>
          <t>Model</t>
        </is>
      </c>
      <c r="F12" s="7" t="inlineStr">
        <is>
          <t>High</t>
        </is>
      </c>
      <c r="G12" s="7" t="inlineStr">
        <is>
          <t>To Do</t>
        </is>
      </c>
      <c r="H12" s="7" t="inlineStr">
        <is>
          <t>Hùng</t>
        </is>
      </c>
      <c r="I12" s="7" t="n">
        <v>6</v>
      </c>
      <c r="J12" s="7" t="inlineStr"/>
      <c r="K12" s="7" t="inlineStr"/>
      <c r="L12" s="7" t="inlineStr"/>
      <c r="M12" s="7" t="inlineStr"/>
    </row>
    <row r="13">
      <c r="A13" s="7">
        <f>ROW()-11</f>
        <v/>
      </c>
      <c r="B13" s="7" t="inlineStr">
        <is>
          <t>LoRA+DoRA Setup</t>
        </is>
      </c>
      <c r="C13" s="7" t="inlineStr">
        <is>
          <t>Là Hùng (Model), tôi muốn cài LoRA + DoRA (use_dora=True) + sigmoid pairwise loss + GradCache, để config train chạy không lỗi, log loss hợp lý.</t>
        </is>
      </c>
      <c r="D13" s="7" t="inlineStr">
        <is>
          <t>Cài LoRA + DoRA (use_dora=True) + sigmoid pairwise loss + GradCache</t>
        </is>
      </c>
      <c r="E13" s="7" t="inlineStr">
        <is>
          <t>Model</t>
        </is>
      </c>
      <c r="F13" s="7" t="inlineStr">
        <is>
          <t>High</t>
        </is>
      </c>
      <c r="G13" s="7" t="inlineStr">
        <is>
          <t>To Do</t>
        </is>
      </c>
      <c r="H13" s="7" t="inlineStr">
        <is>
          <t>Hùng</t>
        </is>
      </c>
      <c r="I13" s="7" t="n">
        <v>6</v>
      </c>
      <c r="J13" s="7" t="inlineStr"/>
      <c r="K13" s="7" t="inlineStr"/>
      <c r="L13" s="7" t="inlineStr"/>
      <c r="M13" s="7" t="inlineStr"/>
    </row>
    <row r="14">
      <c r="A14" s="7">
        <f>ROW()-11</f>
        <v/>
      </c>
      <c r="B14" s="7" t="inlineStr">
        <is>
          <t>Fine-tune Round 1</t>
        </is>
      </c>
      <c r="C14" s="7" t="inlineStr">
        <is>
          <t>Là Hùng (Model), tôi muốn bắt đầu fine-tune vòng 1, để training loop chạy ổn định, log lên W&amp;B.</t>
        </is>
      </c>
      <c r="D14" s="7" t="inlineStr">
        <is>
          <t>Bắt đầu fine-tune vòng 1</t>
        </is>
      </c>
      <c r="E14" s="7" t="inlineStr">
        <is>
          <t>Model</t>
        </is>
      </c>
      <c r="F14" s="7" t="inlineStr">
        <is>
          <t>High</t>
        </is>
      </c>
      <c r="G14" s="7" t="inlineStr">
        <is>
          <t>To Do</t>
        </is>
      </c>
      <c r="H14" s="7" t="inlineStr">
        <is>
          <t>Hùng</t>
        </is>
      </c>
      <c r="I14" s="7" t="n">
        <v>14</v>
      </c>
      <c r="J14" s="7" t="inlineStr"/>
      <c r="K14" s="7" t="inlineStr"/>
      <c r="L14" s="7" t="inlineStr"/>
      <c r="M14" s="7" t="inlineStr"/>
    </row>
    <row r="15">
      <c r="A15" s="7">
        <f>ROW()-11</f>
        <v/>
      </c>
      <c r="B15" s="7" t="inlineStr">
        <is>
          <t>Relevance Labeling</t>
        </is>
      </c>
      <c r="C15" s="7" t="inlineStr">
        <is>
          <t>Là Hùng (Evaluation), tôi muốn tham gia chấm nhãn (xoay vòng 2/3 người mỗi kết quả), để hoàn thành phần truy vấn được giao.</t>
        </is>
      </c>
      <c r="D15" s="7" t="inlineStr">
        <is>
          <t>Tham gia chấm nhãn (xoay vòng 2/3 người mỗi kết quả)</t>
        </is>
      </c>
      <c r="E15" s="7" t="inlineStr">
        <is>
          <t>Evaluation</t>
        </is>
      </c>
      <c r="F15" s="7" t="inlineStr">
        <is>
          <t>Medium</t>
        </is>
      </c>
      <c r="G15" s="7" t="inlineStr">
        <is>
          <t>To Do</t>
        </is>
      </c>
      <c r="H15" s="7" t="inlineStr">
        <is>
          <t>Hùng</t>
        </is>
      </c>
      <c r="I15" s="7" t="inlineStr"/>
      <c r="J15" s="7" t="n">
        <v>4</v>
      </c>
      <c r="K15" s="7" t="inlineStr"/>
      <c r="L15" s="7" t="inlineStr"/>
      <c r="M15" s="7" t="inlineStr"/>
    </row>
    <row r="16">
      <c r="A16" s="7">
        <f>ROW()-11</f>
        <v/>
      </c>
      <c r="B16" s="7" t="inlineStr">
        <is>
          <t>Relevance Labeling</t>
        </is>
      </c>
      <c r="C16" s="7" t="inlineStr">
        <is>
          <t>Là Hiếu (Evaluation), tôi muốn điều phối chấm nhãn (top-20 pooling, 2 người/kết quả), để relevance.json đầy đủ cho toàn bộ truy vấn x hệ thống.</t>
        </is>
      </c>
      <c r="D16" s="7" t="inlineStr">
        <is>
          <t>Điều phối chấm nhãn (top-20 pooling, 2 người/kết quả)</t>
        </is>
      </c>
      <c r="E16" s="7" t="inlineStr">
        <is>
          <t>Evaluation</t>
        </is>
      </c>
      <c r="F16" s="7" t="inlineStr">
        <is>
          <t>High</t>
        </is>
      </c>
      <c r="G16" s="7" t="inlineStr">
        <is>
          <t>To Do</t>
        </is>
      </c>
      <c r="H16" s="7" t="inlineStr">
        <is>
          <t>Hiếu</t>
        </is>
      </c>
      <c r="I16" s="7" t="inlineStr"/>
      <c r="J16" s="7" t="n">
        <v>10</v>
      </c>
      <c r="K16" s="7" t="inlineStr"/>
      <c r="L16" s="7" t="inlineStr"/>
      <c r="M16" s="7" t="inlineStr"/>
    </row>
    <row r="17">
      <c r="A17" s="7">
        <f>ROW()-11</f>
        <v/>
      </c>
      <c r="B17" s="7" t="inlineStr">
        <is>
          <t>Relevance Labeling</t>
        </is>
      </c>
      <c r="C17" s="7" t="inlineStr">
        <is>
          <t>Là Hiếu (Evaluation), tôi muốn tính Cohen's kappa, xử lý ca lệch, để có số kappa báo cáo được, ca lệch đã thống nhất.</t>
        </is>
      </c>
      <c r="D17" s="7" t="inlineStr">
        <is>
          <t>Tính Cohen's kappa, xử lý ca lệch</t>
        </is>
      </c>
      <c r="E17" s="7" t="inlineStr">
        <is>
          <t>Evaluation</t>
        </is>
      </c>
      <c r="F17" s="7" t="inlineStr">
        <is>
          <t>High</t>
        </is>
      </c>
      <c r="G17" s="7" t="inlineStr">
        <is>
          <t>To Do</t>
        </is>
      </c>
      <c r="H17" s="7" t="inlineStr">
        <is>
          <t>Hiếu</t>
        </is>
      </c>
      <c r="I17" s="7" t="inlineStr"/>
      <c r="J17" s="7" t="n">
        <v>6</v>
      </c>
      <c r="K17" s="7" t="inlineStr"/>
      <c r="L17" s="7" t="inlineStr"/>
      <c r="M17" s="7" t="inlineStr"/>
    </row>
    <row r="18">
      <c r="A18" s="7">
        <f>ROW()-11</f>
        <v/>
      </c>
      <c r="B18" s="7" t="inlineStr">
        <is>
          <t>Hard-negative Prep</t>
        </is>
      </c>
      <c r="C18" s="7" t="inlineStr">
        <is>
          <t>Là Hiệp (Data), tôi muốn viết script hard-negative mining (cùng danh mục, khác màu/kiểu), để script sinh mẫu âm khó chạy được.</t>
        </is>
      </c>
      <c r="D18" s="7" t="inlineStr">
        <is>
          <t>Viết script hard-negative mining (cùng danh mục, khác màu/kiểu)</t>
        </is>
      </c>
      <c r="E18" s="7" t="inlineStr">
        <is>
          <t>Data</t>
        </is>
      </c>
      <c r="F18" s="7" t="inlineStr">
        <is>
          <t>High</t>
        </is>
      </c>
      <c r="G18" s="7" t="inlineStr">
        <is>
          <t>To Do</t>
        </is>
      </c>
      <c r="H18" s="7" t="inlineStr">
        <is>
          <t>Hiệp</t>
        </is>
      </c>
      <c r="I18" s="7" t="n">
        <v>6</v>
      </c>
      <c r="J18" s="7" t="inlineStr"/>
      <c r="K18" s="7" t="inlineStr"/>
      <c r="L18" s="7" t="inlineStr"/>
      <c r="M18" s="7" t="inlineStr"/>
    </row>
    <row r="19">
      <c r="A19" s="7">
        <f>ROW()-11</f>
        <v/>
      </c>
      <c r="B19" s="7" t="inlineStr">
        <is>
          <t>Training Infra</t>
        </is>
      </c>
      <c r="C19" s="7" t="inlineStr">
        <is>
          <t>Là Hiệp (Systems), tôi muốn khung log huấn luyện (W&amp;B + experiments/runs.csv), để mỗi lần train tự log đủ cột quy định.</t>
        </is>
      </c>
      <c r="D19" s="7" t="inlineStr">
        <is>
          <t>Khung log huấn luyện (W&amp;B + experiments/runs.csv)</t>
        </is>
      </c>
      <c r="E19" s="7" t="inlineStr">
        <is>
          <t>Systems</t>
        </is>
      </c>
      <c r="F19" s="7" t="inlineStr">
        <is>
          <t>Medium</t>
        </is>
      </c>
      <c r="G19" s="7" t="inlineStr">
        <is>
          <t>To Do</t>
        </is>
      </c>
      <c r="H19" s="7" t="inlineStr">
        <is>
          <t>Hiệp</t>
        </is>
      </c>
      <c r="I19" s="7" t="n">
        <v>4</v>
      </c>
      <c r="J19" s="7" t="inlineStr"/>
      <c r="K19" s="7" t="inlineStr"/>
      <c r="L19" s="7" t="inlineStr"/>
      <c r="M19" s="7" t="inlineStr"/>
    </row>
    <row r="20">
      <c r="A20" s="7">
        <f>ROW()-11</f>
        <v/>
      </c>
      <c r="B20" s="7" t="inlineStr">
        <is>
          <t>Relevance Labeling</t>
        </is>
      </c>
      <c r="C20" s="7" t="inlineStr">
        <is>
          <t>Là Hiệp (Evaluation), tôi muốn tham gia chấm nhãn (xoay vòng 2/3 người mỗi kết quả), để hoàn thành phần truy vấn được giao.</t>
        </is>
      </c>
      <c r="D20" s="7" t="inlineStr">
        <is>
          <t>Tham gia chấm nhãn (xoay vòng 2/3 người mỗi kết quả)</t>
        </is>
      </c>
      <c r="E20" s="7" t="inlineStr">
        <is>
          <t>Evaluation</t>
        </is>
      </c>
      <c r="F20" s="7" t="inlineStr">
        <is>
          <t>Medium</t>
        </is>
      </c>
      <c r="G20" s="7" t="inlineStr">
        <is>
          <t>To Do</t>
        </is>
      </c>
      <c r="H20" s="7" t="inlineStr">
        <is>
          <t>Hiệp</t>
        </is>
      </c>
      <c r="I20" s="7" t="inlineStr"/>
      <c r="J20" s="7" t="n">
        <v>4</v>
      </c>
      <c r="K20" s="7" t="inlineStr"/>
      <c r="L20" s="7" t="inlineStr"/>
      <c r="M20" s="7" t="inlineStr"/>
    </row>
    <row r="21">
      <c r="A21" s="7">
        <f>ROW()-11</f>
        <v/>
      </c>
      <c r="B21" s="7" t="inlineStr">
        <is>
          <t>Report Writing</t>
        </is>
      </c>
      <c r="C21" s="7" t="inlineStr">
        <is>
          <t>Là Hưng (Report), tôi muốn viết Mục 3.3-3.4 báo cáo (thiết kế mô hình, thiết kế đánh giá), để draft Mục 3.3-3.4 hoàn chỉnh, dựa trên input Hùng/Hiếu.</t>
        </is>
      </c>
      <c r="D21" s="7" t="inlineStr">
        <is>
          <t>Viết Mục 3.3-3.4 báo cáo (thiết kế mô hình, thiết kế đánh giá)</t>
        </is>
      </c>
      <c r="E21" s="7" t="inlineStr">
        <is>
          <t>Report</t>
        </is>
      </c>
      <c r="F21" s="7" t="inlineStr">
        <is>
          <t>Medium</t>
        </is>
      </c>
      <c r="G21" s="7" t="inlineStr">
        <is>
          <t>To Do</t>
        </is>
      </c>
      <c r="H21" s="7" t="inlineStr">
        <is>
          <t>Hưng</t>
        </is>
      </c>
      <c r="I21" s="7" t="n">
        <v>4</v>
      </c>
      <c r="J21" s="7" t="inlineStr"/>
      <c r="K21" s="7" t="inlineStr"/>
      <c r="L21" s="7" t="inlineStr"/>
      <c r="M21" s="7" t="inlineStr"/>
    </row>
  </sheetData>
  <autoFilter ref="A11:M21"/>
  <conditionalFormatting sqref="G12:G21">
    <cfRule type="cellIs" priority="1" operator="equal" dxfId="0">
      <formula>"New"</formula>
    </cfRule>
    <cfRule type="cellIs" priority="3" operator="equal" dxfId="0">
      <formula>"To Do"</formula>
    </cfRule>
    <cfRule type="cellIs" priority="5" operator="equal" dxfId="0">
      <formula>"Todo"</formula>
    </cfRule>
    <cfRule type="cellIs" priority="7" operator="equal" dxfId="1">
      <formula>"In Progress"</formula>
    </cfRule>
    <cfRule type="cellIs" priority="9" operator="equal" dxfId="1">
      <formula>"Doing"</formula>
    </cfRule>
    <cfRule type="cellIs" priority="11" operator="equal" dxfId="1">
      <formula>"Testing"</formula>
    </cfRule>
    <cfRule type="cellIs" priority="13" operator="equal" dxfId="2">
      <formula>"Done"</formula>
    </cfRule>
    <cfRule type="cellIs" priority="15" operator="equal" dxfId="2">
      <formula>"Confirm"</formula>
    </cfRule>
    <cfRule type="cellIs" priority="17" operator="equal" dxfId="2">
      <formula>"Released"</formula>
    </cfRule>
    <cfRule type="cellIs" priority="19" operator="equal" dxfId="2">
      <formula>"Closed"</formula>
    </cfRule>
    <cfRule type="cellIs" priority="21" operator="equal" dxfId="3">
      <formula>"Reject"</formula>
    </cfRule>
    <cfRule type="cellIs" priority="23" operator="equal" dxfId="3">
      <formula>"Pending"</formula>
    </cfRule>
    <cfRule type="cellIs" priority="25" operator="equal" dxfId="3">
      <formula>"Blocked"</formula>
    </cfRule>
  </conditionalFormatting>
  <conditionalFormatting sqref="D3:D5">
    <cfRule type="cellIs" priority="2" operator="equal" dxfId="0">
      <formula>"New"</formula>
    </cfRule>
    <cfRule type="cellIs" priority="4" operator="equal" dxfId="0">
      <formula>"To Do"</formula>
    </cfRule>
    <cfRule type="cellIs" priority="6" operator="equal" dxfId="0">
      <formula>"Todo"</formula>
    </cfRule>
    <cfRule type="cellIs" priority="8" operator="equal" dxfId="1">
      <formula>"In Progress"</formula>
    </cfRule>
    <cfRule type="cellIs" priority="10" operator="equal" dxfId="1">
      <formula>"Doing"</formula>
    </cfRule>
    <cfRule type="cellIs" priority="12" operator="equal" dxfId="1">
      <formula>"Testing"</formula>
    </cfRule>
    <cfRule type="cellIs" priority="14" operator="equal" dxfId="2">
      <formula>"Done"</formula>
    </cfRule>
    <cfRule type="cellIs" priority="16" operator="equal" dxfId="2">
      <formula>"Confirm"</formula>
    </cfRule>
    <cfRule type="cellIs" priority="18" operator="equal" dxfId="2">
      <formula>"Released"</formula>
    </cfRule>
    <cfRule type="cellIs" priority="20" operator="equal" dxfId="2">
      <formula>"Closed"</formula>
    </cfRule>
    <cfRule type="cellIs" priority="22" operator="equal" dxfId="3">
      <formula>"Reject"</formula>
    </cfRule>
    <cfRule type="cellIs" priority="24" operator="equal" dxfId="3">
      <formula>"Pending"</formula>
    </cfRule>
    <cfRule type="cellIs" priority="26" operator="equal" dxfId="3">
      <formula>"Blocked"</formula>
    </cfRule>
  </conditionalFormatting>
  <dataValidations count="4">
    <dataValidation sqref="D3:D5" showDropDown="0" showInputMessage="0" showErrorMessage="0" allowBlank="1" type="list">
      <formula1>"To Do,Doing,Done,Confirm,Reject,Pending"</formula1>
    </dataValidation>
    <dataValidation sqref="G12:G21" showDropDown="0" showInputMessage="0" showErrorMessage="0" allowBlank="1" type="list">
      <formula1>"To Do,Doing,Done,Confirm,Reject,Pending"</formula1>
    </dataValidation>
    <dataValidation sqref="F12:F21" showDropDown="0" showInputMessage="0" showErrorMessage="0" allowBlank="1" type="list">
      <formula1>"High,Medium,Low"</formula1>
    </dataValidation>
    <dataValidation sqref="H12:H21" showDropDown="0" showInputMessage="0" showErrorMessage="0" allowBlank="1" type="list">
      <formula1>"Hưng,Hùng,Hiếu,Hiệp"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34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22" customWidth="1" min="13" max="13"/>
    <col width="8" customWidth="1" min="14" max="14"/>
    <col width="8" customWidth="1" min="15" max="15"/>
    <col width="22" customWidth="1" min="16" max="16"/>
  </cols>
  <sheetData>
    <row r="2">
      <c r="B2" s="14" t="inlineStr">
        <is>
          <t>MỤC TIÊU SPRINT</t>
        </is>
      </c>
      <c r="C2" s="15" t="n"/>
      <c r="D2" s="15" t="n"/>
      <c r="F2" s="14" t="inlineStr">
        <is>
          <t>DASHBOARD</t>
        </is>
      </c>
      <c r="G2" s="15" t="n"/>
      <c r="I2" s="14" t="inlineStr">
        <is>
          <t>GIỜ CÔNG</t>
        </is>
      </c>
      <c r="J2" s="15" t="n"/>
      <c r="K2" s="15" t="n"/>
      <c r="L2" s="15" t="n"/>
      <c r="M2" s="15" t="n"/>
      <c r="N2" s="15" t="n"/>
    </row>
    <row r="3">
      <c r="B3" t="inlineStr">
        <is>
          <t>Fine-tune hoàn tất, chọn checkpoint</t>
        </is>
      </c>
      <c r="D3" t="inlineStr">
        <is>
          <t>To Do</t>
        </is>
      </c>
      <c r="F3" s="16" t="inlineStr">
        <is>
          <t>Total</t>
        </is>
      </c>
      <c r="G3" s="16">
        <f>COUNTA(A12:A26)</f>
        <v/>
      </c>
      <c r="I3" s="17" t="inlineStr">
        <is>
          <t>Member</t>
        </is>
      </c>
      <c r="J3" s="17" t="inlineStr">
        <is>
          <t>Mảng</t>
        </is>
      </c>
      <c r="K3" s="17" t="inlineStr">
        <is>
          <t>Tiêu chuẩn (h)</t>
        </is>
      </c>
      <c r="L3" s="17" t="inlineStr">
        <is>
          <t>Họp (h)</t>
        </is>
      </c>
      <c r="M3" s="17" t="inlineStr">
        <is>
          <t>Nghỉ (h)</t>
        </is>
      </c>
      <c r="N3" s="17" t="inlineStr">
        <is>
          <t>Tổng (h)</t>
        </is>
      </c>
    </row>
    <row r="4">
      <c r="B4" t="inlineStr">
        <is>
          <t>7 trục ablation theo thứ tự ưu tiên</t>
        </is>
      </c>
      <c r="D4" t="inlineStr">
        <is>
          <t>To Do</t>
        </is>
      </c>
      <c r="F4" s="16" t="inlineStr">
        <is>
          <t>To Do</t>
        </is>
      </c>
      <c r="G4" s="16">
        <f>COUNTIF(G12:G26,"To Do")</f>
        <v/>
      </c>
      <c r="I4" t="inlineStr">
        <is>
          <t>Hùng</t>
        </is>
      </c>
      <c r="J4" t="inlineStr">
        <is>
          <t>Model &amp; Training</t>
        </is>
      </c>
      <c r="K4" t="n">
        <v>20</v>
      </c>
      <c r="L4" t="n">
        <v>3</v>
      </c>
      <c r="M4" t="n">
        <v>0</v>
      </c>
      <c r="N4">
        <f>K4-L4-M4</f>
        <v/>
      </c>
    </row>
    <row r="5">
      <c r="B5" t="inlineStr">
        <is>
          <t>Latency + phân tích lỗi/thiên lệch xong</t>
        </is>
      </c>
      <c r="D5" t="inlineStr">
        <is>
          <t>To Do</t>
        </is>
      </c>
      <c r="F5" s="16" t="inlineStr">
        <is>
          <t>Doing</t>
        </is>
      </c>
      <c r="G5" s="16">
        <f>COUNTIF(G12:G26,"Doing")</f>
        <v/>
      </c>
      <c r="I5" t="inlineStr">
        <is>
          <t>Hiếu</t>
        </is>
      </c>
      <c r="J5" t="inlineStr">
        <is>
          <t>Evaluation</t>
        </is>
      </c>
      <c r="K5" t="n">
        <v>20</v>
      </c>
      <c r="L5" t="n">
        <v>3</v>
      </c>
      <c r="M5" t="n">
        <v>0</v>
      </c>
      <c r="N5">
        <f>K5-L5-M5</f>
        <v/>
      </c>
    </row>
    <row r="6">
      <c r="F6" s="16" t="inlineStr">
        <is>
          <t>Done</t>
        </is>
      </c>
      <c r="G6" s="16">
        <f>COUNTIF(G12:G26,"Done")</f>
        <v/>
      </c>
      <c r="I6" t="inlineStr">
        <is>
          <t>Hiệp</t>
        </is>
      </c>
      <c r="J6" t="inlineStr">
        <is>
          <t>Data &amp; Systems</t>
        </is>
      </c>
      <c r="K6" t="n">
        <v>20</v>
      </c>
      <c r="L6" t="n">
        <v>3</v>
      </c>
      <c r="M6" t="n">
        <v>0</v>
      </c>
      <c r="N6">
        <f>K6-L6-M6</f>
        <v/>
      </c>
    </row>
    <row r="7">
      <c r="F7" s="16" t="inlineStr">
        <is>
          <t>Confirm</t>
        </is>
      </c>
      <c r="G7" s="16">
        <f>COUNTIF(G12:G26,"Confirm")</f>
        <v/>
      </c>
      <c r="I7" t="inlineStr">
        <is>
          <t>Hưng</t>
        </is>
      </c>
      <c r="J7" t="inlineStr">
        <is>
          <t>Data &amp; Report</t>
        </is>
      </c>
      <c r="K7" t="n">
        <v>20</v>
      </c>
      <c r="L7" t="n">
        <v>3</v>
      </c>
      <c r="M7" t="n">
        <v>0</v>
      </c>
      <c r="N7">
        <f>K7-L7-M7</f>
        <v/>
      </c>
    </row>
    <row r="8">
      <c r="F8" s="16" t="inlineStr">
        <is>
          <t>Reject</t>
        </is>
      </c>
      <c r="G8" s="16">
        <f>COUNTIF(G12:G26,"Reject")</f>
        <v/>
      </c>
      <c r="M8" s="17" t="inlineStr">
        <is>
          <t>Tổng</t>
        </is>
      </c>
      <c r="N8" s="17">
        <f>SUM(N4:N7)</f>
        <v/>
      </c>
    </row>
    <row r="9">
      <c r="F9" s="16" t="inlineStr">
        <is>
          <t>Pending</t>
        </is>
      </c>
      <c r="G9" s="16">
        <f>COUNTIF(G12:G26,"Pending")</f>
        <v/>
      </c>
      <c r="I9" s="17" t="inlineStr">
        <is>
          <t>Công số KH (h)</t>
        </is>
      </c>
      <c r="J9" s="17">
        <f>SUM(I12:J26)</f>
        <v/>
      </c>
      <c r="K9" s="17" t="inlineStr">
        <is>
          <t>Công số TT (h)</t>
        </is>
      </c>
      <c r="L9" s="17">
        <f>SUM(K12:L26)</f>
        <v/>
      </c>
      <c r="M9" s="17" t="inlineStr">
        <is>
          <t>Tỉ lệ TT/KH</t>
        </is>
      </c>
      <c r="N9" s="18">
        <f>IFERROR(L9/J9,0)</f>
        <v/>
      </c>
    </row>
    <row r="11" ht="30" customHeight="1">
      <c r="A11" s="6" t="inlineStr">
        <is>
          <t>No</t>
        </is>
      </c>
      <c r="B11" s="6" t="inlineStr">
        <is>
          <t>Epic</t>
        </is>
      </c>
      <c r="C11" s="6" t="inlineStr">
        <is>
          <t>US (user story)</t>
        </is>
      </c>
      <c r="D11" s="6" t="inlineStr">
        <is>
          <t>Output (Task)</t>
        </is>
      </c>
      <c r="E11" s="6" t="inlineStr">
        <is>
          <t>Type</t>
        </is>
      </c>
      <c r="F11" s="6" t="inlineStr">
        <is>
          <t>Priority</t>
        </is>
      </c>
      <c r="G11" s="6" t="inlineStr">
        <is>
          <t>Status</t>
        </is>
      </c>
      <c r="H11" s="6" t="inlineStr">
        <is>
          <t>PIC</t>
        </is>
      </c>
      <c r="I11" s="6" t="inlineStr">
        <is>
          <t>Dev (hour)</t>
        </is>
      </c>
      <c r="J11" s="6" t="inlineStr">
        <is>
          <t>Test (hour)</t>
        </is>
      </c>
      <c r="K11" s="6" t="inlineStr">
        <is>
          <t>Dev Actual (h)</t>
        </is>
      </c>
      <c r="L11" s="6" t="inlineStr">
        <is>
          <t>Test Actual (h)</t>
        </is>
      </c>
      <c r="M11" s="6" t="inlineStr">
        <is>
          <t>Note</t>
        </is>
      </c>
    </row>
    <row r="12">
      <c r="A12" s="7" t="inlineStr">
        <is>
          <t>1</t>
        </is>
      </c>
      <c r="B12" s="7" t="inlineStr">
        <is>
          <t>Fine-tune Finalization</t>
        </is>
      </c>
      <c r="C12" s="7" t="inlineStr">
        <is>
          <t>Là Hùng (Model), tôi muốn hoàn tất fine-tune, chọn checkpoint theo Recall@5 val, để checkpoint tốt nhất đã lưu + log đầy đủ.</t>
        </is>
      </c>
      <c r="D12" s="7" t="inlineStr">
        <is>
          <t>Hoàn tất fine-tune, chọn checkpoint theo Recall@5 val</t>
        </is>
      </c>
      <c r="E12" s="7" t="inlineStr">
        <is>
          <t>Model</t>
        </is>
      </c>
      <c r="F12" s="7" t="inlineStr">
        <is>
          <t>High</t>
        </is>
      </c>
      <c r="G12" s="7" t="inlineStr">
        <is>
          <t>To Do</t>
        </is>
      </c>
      <c r="H12" s="7" t="inlineStr">
        <is>
          <t>Hùng</t>
        </is>
      </c>
      <c r="I12" s="7" t="n">
        <v>12</v>
      </c>
      <c r="J12" s="7" t="inlineStr"/>
      <c r="K12" s="7" t="inlineStr"/>
      <c r="L12" s="7" t="inlineStr"/>
      <c r="M12" s="7" t="inlineStr"/>
    </row>
    <row r="13">
      <c r="A13" s="7">
        <f>ROW()-11</f>
        <v/>
      </c>
      <c r="B13" s="7" t="inlineStr">
        <is>
          <t>Ablation Study</t>
        </is>
      </c>
      <c r="C13" s="7" t="inlineStr">
        <is>
          <t>Là Hùng (Model), tôi muốn ablation #1 (ưu tiên 1): DoRA vs LoRA thường, để bảng kết quả so sánh.</t>
        </is>
      </c>
      <c r="D13" s="7" t="inlineStr">
        <is>
          <t>Ablation #1 (ưu tiên 1): DoRA vs LoRA thường</t>
        </is>
      </c>
      <c r="E13" s="7" t="inlineStr">
        <is>
          <t>Model</t>
        </is>
      </c>
      <c r="F13" s="7" t="inlineStr">
        <is>
          <t>High</t>
        </is>
      </c>
      <c r="G13" s="7" t="inlineStr">
        <is>
          <t>To Do</t>
        </is>
      </c>
      <c r="H13" s="7" t="inlineStr">
        <is>
          <t>Hùng</t>
        </is>
      </c>
      <c r="I13" s="7" t="n">
        <v>6</v>
      </c>
      <c r="J13" s="7" t="inlineStr"/>
      <c r="K13" s="7" t="inlineStr"/>
      <c r="L13" s="7" t="inlineStr"/>
      <c r="M13" s="7" t="inlineStr"/>
    </row>
    <row r="14">
      <c r="A14" s="7">
        <f>ROW()-11</f>
        <v/>
      </c>
      <c r="B14" s="7" t="inlineStr">
        <is>
          <t>Ablation Study</t>
        </is>
      </c>
      <c r="C14" s="7" t="inlineStr">
        <is>
          <t>Là Hùng (Model), tôi muốn ablation #2 (ưu tiên 2): Hard negative mining có/không, để bảng kết quả so sánh.</t>
        </is>
      </c>
      <c r="D14" s="7" t="inlineStr">
        <is>
          <t>Ablation #2 (ưu tiên 2): Hard negative mining có/không</t>
        </is>
      </c>
      <c r="E14" s="7" t="inlineStr">
        <is>
          <t>Model</t>
        </is>
      </c>
      <c r="F14" s="7" t="inlineStr">
        <is>
          <t>High</t>
        </is>
      </c>
      <c r="G14" s="7" t="inlineStr">
        <is>
          <t>To Do</t>
        </is>
      </c>
      <c r="H14" s="7" t="inlineStr">
        <is>
          <t>Hùng</t>
        </is>
      </c>
      <c r="I14" s="7" t="n">
        <v>6</v>
      </c>
      <c r="J14" s="7" t="inlineStr"/>
      <c r="K14" s="7" t="inlineStr"/>
      <c r="L14" s="7" t="inlineStr"/>
      <c r="M14" s="7" t="inlineStr"/>
    </row>
    <row r="15">
      <c r="A15" s="7">
        <f>ROW()-11</f>
        <v/>
      </c>
      <c r="B15" s="7" t="inlineStr">
        <is>
          <t>Ablation Study</t>
        </is>
      </c>
      <c r="C15" s="7" t="inlineStr">
        <is>
          <t>Là Hùng (Model), tôi muốn ablation #3 (ưu tiên 3): SigLIP 2 vs ViSigLIP-OT, để bảng kết quả so sánh.</t>
        </is>
      </c>
      <c r="D15" s="7" t="inlineStr">
        <is>
          <t>Ablation #3 (ưu tiên 3): SigLIP 2 vs ViSigLIP-OT</t>
        </is>
      </c>
      <c r="E15" s="7" t="inlineStr">
        <is>
          <t>Model</t>
        </is>
      </c>
      <c r="F15" s="7" t="inlineStr">
        <is>
          <t>High</t>
        </is>
      </c>
      <c r="G15" s="7" t="inlineStr">
        <is>
          <t>To Do</t>
        </is>
      </c>
      <c r="H15" s="7" t="inlineStr">
        <is>
          <t>Hùng</t>
        </is>
      </c>
      <c r="I15" s="7" t="n">
        <v>6</v>
      </c>
      <c r="J15" s="7" t="inlineStr"/>
      <c r="K15" s="7" t="inlineStr"/>
      <c r="L15" s="7" t="inlineStr"/>
      <c r="M15" s="7" t="inlineStr"/>
    </row>
    <row r="16">
      <c r="A16" s="7">
        <f>ROW()-11</f>
        <v/>
      </c>
      <c r="B16" s="7" t="inlineStr">
        <is>
          <t>Ablation Study</t>
        </is>
      </c>
      <c r="C16" s="7" t="inlineStr">
        <is>
          <t>Là Hùng (Model), tôi muốn ablation #4 (ưu tiên 4): LoRA rank {4,8,16}, để bảng kết quả (chạy nếu còn giờ máy).</t>
        </is>
      </c>
      <c r="D16" s="7" t="inlineStr">
        <is>
          <t>Ablation #4 (ưu tiên 4): LoRA rank {4,8,16}</t>
        </is>
      </c>
      <c r="E16" s="7" t="inlineStr">
        <is>
          <t>Model</t>
        </is>
      </c>
      <c r="F16" s="7" t="inlineStr">
        <is>
          <t>Medium</t>
        </is>
      </c>
      <c r="G16" s="7" t="inlineStr">
        <is>
          <t>To Do</t>
        </is>
      </c>
      <c r="H16" s="7" t="inlineStr">
        <is>
          <t>Hùng</t>
        </is>
      </c>
      <c r="I16" s="7" t="n">
        <v>4</v>
      </c>
      <c r="J16" s="7" t="inlineStr"/>
      <c r="K16" s="7" t="inlineStr"/>
      <c r="L16" s="7" t="inlineStr"/>
      <c r="M16" s="7" t="inlineStr"/>
    </row>
    <row r="17">
      <c r="A17" s="7">
        <f>ROW()-11</f>
        <v/>
      </c>
      <c r="B17" s="7" t="inlineStr">
        <is>
          <t>Ablation Study</t>
        </is>
      </c>
      <c r="C17" s="7" t="inlineStr">
        <is>
          <t>Là Hùng (Model), tôi muốn ablation #5 (ưu tiên 5): Batch hiệu dụng {32,128,256}, để bảng kết quả (chạy nếu còn giờ máy).</t>
        </is>
      </c>
      <c r="D17" s="7" t="inlineStr">
        <is>
          <t>Ablation #5 (ưu tiên 5): Batch hiệu dụng {32,128,256}</t>
        </is>
      </c>
      <c r="E17" s="7" t="inlineStr">
        <is>
          <t>Model</t>
        </is>
      </c>
      <c r="F17" s="7" t="inlineStr">
        <is>
          <t>Medium</t>
        </is>
      </c>
      <c r="G17" s="7" t="inlineStr">
        <is>
          <t>To Do</t>
        </is>
      </c>
      <c r="H17" s="7" t="inlineStr">
        <is>
          <t>Hùng</t>
        </is>
      </c>
      <c r="I17" s="7" t="n">
        <v>4</v>
      </c>
      <c r="J17" s="7" t="inlineStr"/>
      <c r="K17" s="7" t="inlineStr"/>
      <c r="L17" s="7" t="inlineStr"/>
      <c r="M17" s="7" t="inlineStr"/>
    </row>
    <row r="18">
      <c r="A18" s="7">
        <f>ROW()-11</f>
        <v/>
      </c>
      <c r="B18" s="7" t="inlineStr">
        <is>
          <t>Ablation Study</t>
        </is>
      </c>
      <c r="C18" s="7" t="inlineStr">
        <is>
          <t>Là Hùng (Model), tôi muốn ablation #6 (ưu tiên 6): Adapter ảnh-only / text-only / cả hai, để bảng kết quả (chạy nếu còn giờ máy).</t>
        </is>
      </c>
      <c r="D18" s="7" t="inlineStr">
        <is>
          <t>Ablation #6 (ưu tiên 6): Adapter ảnh-only / text-only / cả hai</t>
        </is>
      </c>
      <c r="E18" s="7" t="inlineStr">
        <is>
          <t>Model</t>
        </is>
      </c>
      <c r="F18" s="7" t="inlineStr">
        <is>
          <t>Low</t>
        </is>
      </c>
      <c r="G18" s="7" t="inlineStr">
        <is>
          <t>To Do</t>
        </is>
      </c>
      <c r="H18" s="7" t="inlineStr">
        <is>
          <t>Hùng</t>
        </is>
      </c>
      <c r="I18" s="7" t="n">
        <v>2</v>
      </c>
      <c r="J18" s="7" t="inlineStr"/>
      <c r="K18" s="7" t="inlineStr"/>
      <c r="L18" s="7" t="inlineStr"/>
      <c r="M18" s="7" t="inlineStr"/>
    </row>
    <row r="19">
      <c r="A19" s="7">
        <f>ROW()-11</f>
        <v/>
      </c>
      <c r="B19" s="7" t="inlineStr">
        <is>
          <t>Ablation Study</t>
        </is>
      </c>
      <c r="C19" s="7" t="inlineStr">
        <is>
          <t>Là Hùng (Model), tôi muốn ablation #7 (ưu tiên 7): SigLIP 1 vs SigLIP 2, để bảng kết quả (chạy nếu còn giờ máy).</t>
        </is>
      </c>
      <c r="D19" s="7" t="inlineStr">
        <is>
          <t>Ablation #7 (ưu tiên 7): SigLIP 1 vs SigLIP 2</t>
        </is>
      </c>
      <c r="E19" s="7" t="inlineStr">
        <is>
          <t>Model</t>
        </is>
      </c>
      <c r="F19" s="7" t="inlineStr">
        <is>
          <t>Low</t>
        </is>
      </c>
      <c r="G19" s="7" t="inlineStr">
        <is>
          <t>To Do</t>
        </is>
      </c>
      <c r="H19" s="7" t="inlineStr">
        <is>
          <t>Hùng</t>
        </is>
      </c>
      <c r="I19" s="7" t="n">
        <v>2</v>
      </c>
      <c r="J19" s="7" t="inlineStr"/>
      <c r="K19" s="7" t="inlineStr"/>
      <c r="L19" s="7" t="inlineStr"/>
      <c r="M19" s="7" t="inlineStr"/>
    </row>
    <row r="20">
      <c r="A20" s="7">
        <f>ROW()-11</f>
        <v/>
      </c>
      <c r="B20" s="7" t="inlineStr">
        <is>
          <t>Model Evaluation</t>
        </is>
      </c>
      <c r="C20" s="7" t="inlineStr">
        <is>
          <t>Là Hiếu (Evaluation), tôi muốn đánh giá checkpoint fine-tune so với 6 hệ thống zero-shot, để bảng so sánh đầy đủ Recall/MRR/nDCG.</t>
        </is>
      </c>
      <c r="D20" s="7" t="inlineStr">
        <is>
          <t>Đánh giá checkpoint fine-tune so với 6 hệ thống zero-shot</t>
        </is>
      </c>
      <c r="E20" s="7" t="inlineStr">
        <is>
          <t>Evaluation</t>
        </is>
      </c>
      <c r="F20" s="7" t="inlineStr">
        <is>
          <t>High</t>
        </is>
      </c>
      <c r="G20" s="7" t="inlineStr">
        <is>
          <t>To Do</t>
        </is>
      </c>
      <c r="H20" s="7" t="inlineStr">
        <is>
          <t>Hiếu</t>
        </is>
      </c>
      <c r="I20" s="7" t="inlineStr"/>
      <c r="J20" s="7" t="n">
        <v>6</v>
      </c>
      <c r="K20" s="7" t="inlineStr"/>
      <c r="L20" s="7" t="inlineStr"/>
      <c r="M20" s="7" t="inlineStr"/>
    </row>
    <row r="21">
      <c r="A21" s="7">
        <f>ROW()-11</f>
        <v/>
      </c>
      <c r="B21" s="7" t="inlineStr">
        <is>
          <t>Error Analysis</t>
        </is>
      </c>
      <c r="C21" s="7" t="inlineStr">
        <is>
          <t>Là Hiếu (Evaluation), tôi muốn chọn 15-20 ca lỗi tệ nhất, phân loại nguyên nhân, để bộ ca lỗi có phân loại rõ nguyên nhân.</t>
        </is>
      </c>
      <c r="D21" s="7" t="inlineStr">
        <is>
          <t>Chọn 15-20 ca lỗi tệ nhất, phân loại nguyên nhân</t>
        </is>
      </c>
      <c r="E21" s="7" t="inlineStr">
        <is>
          <t>Evaluation</t>
        </is>
      </c>
      <c r="F21" s="7" t="inlineStr">
        <is>
          <t>High</t>
        </is>
      </c>
      <c r="G21" s="7" t="inlineStr">
        <is>
          <t>To Do</t>
        </is>
      </c>
      <c r="H21" s="7" t="inlineStr">
        <is>
          <t>Hiếu</t>
        </is>
      </c>
      <c r="I21" s="7" t="inlineStr"/>
      <c r="J21" s="7" t="n">
        <v>6</v>
      </c>
      <c r="K21" s="7" t="inlineStr"/>
      <c r="L21" s="7" t="inlineStr"/>
      <c r="M21" s="7" t="inlineStr"/>
    </row>
    <row r="22">
      <c r="A22" s="7">
        <f>ROW()-11</f>
        <v/>
      </c>
      <c r="B22" s="7" t="inlineStr">
        <is>
          <t>Statistical Testing</t>
        </is>
      </c>
      <c r="C22" s="7" t="inlineStr">
        <is>
          <t>Là Hiếu (Evaluation), tôi muốn paired bootstrap test giữa các hệ thống, để kết luận rõ có/không ý nghĩa thống kê.</t>
        </is>
      </c>
      <c r="D22" s="7" t="inlineStr">
        <is>
          <t>Paired bootstrap test giữa các hệ thống</t>
        </is>
      </c>
      <c r="E22" s="7" t="inlineStr">
        <is>
          <t>Evaluation</t>
        </is>
      </c>
      <c r="F22" s="7" t="inlineStr">
        <is>
          <t>Medium</t>
        </is>
      </c>
      <c r="G22" s="7" t="inlineStr">
        <is>
          <t>To Do</t>
        </is>
      </c>
      <c r="H22" s="7" t="inlineStr">
        <is>
          <t>Hiếu</t>
        </is>
      </c>
      <c r="I22" s="7" t="inlineStr"/>
      <c r="J22" s="7" t="n">
        <v>4</v>
      </c>
      <c r="K22" s="7" t="inlineStr"/>
      <c r="L22" s="7" t="inlineStr"/>
      <c r="M22" s="7" t="inlineStr"/>
    </row>
    <row r="23">
      <c r="A23" s="7">
        <f>ROW()-11</f>
        <v/>
      </c>
      <c r="B23" s="7" t="inlineStr">
        <is>
          <t>Latency Benchmarking</t>
        </is>
      </c>
      <c r="C23" s="7" t="inlineStr">
        <is>
          <t>Là Hiệp (Systems), tôi muốn re-index Qdrant với checkpoint mới, để index phản ánh đúng mô hình đã fine-tune.</t>
        </is>
      </c>
      <c r="D23" s="7" t="inlineStr">
        <is>
          <t>Re-index Qdrant với checkpoint mới</t>
        </is>
      </c>
      <c r="E23" s="7" t="inlineStr">
        <is>
          <t>Systems</t>
        </is>
      </c>
      <c r="F23" s="7" t="inlineStr">
        <is>
          <t>High</t>
        </is>
      </c>
      <c r="G23" s="7" t="inlineStr">
        <is>
          <t>To Do</t>
        </is>
      </c>
      <c r="H23" s="7" t="inlineStr">
        <is>
          <t>Hiệp</t>
        </is>
      </c>
      <c r="I23" s="7" t="n">
        <v>6</v>
      </c>
      <c r="J23" s="7" t="inlineStr"/>
      <c r="K23" s="7" t="inlineStr"/>
      <c r="L23" s="7" t="inlineStr"/>
      <c r="M23" s="7" t="inlineStr"/>
    </row>
    <row r="24">
      <c r="A24" s="7">
        <f>ROW()-11</f>
        <v/>
      </c>
      <c r="B24" s="7" t="inlineStr">
        <is>
          <t>Latency Benchmarking</t>
        </is>
      </c>
      <c r="C24" s="7" t="inlineStr">
        <is>
          <t>Là Hiệp (Systems), tôi muốn đo latency 3 thành phần (encode/ANN/e2e), p50/p95, tất cả hệ thống, để bảng latency đầy đủ, trung thực (không gộp 1 số).</t>
        </is>
      </c>
      <c r="D24" s="7" t="inlineStr">
        <is>
          <t>Đo latency 3 thành phần (encode/ANN/e2e), p50/p95, tất cả hệ thống</t>
        </is>
      </c>
      <c r="E24" s="7" t="inlineStr">
        <is>
          <t>Systems</t>
        </is>
      </c>
      <c r="F24" s="7" t="inlineStr">
        <is>
          <t>High</t>
        </is>
      </c>
      <c r="G24" s="7" t="inlineStr">
        <is>
          <t>To Do</t>
        </is>
      </c>
      <c r="H24" s="7" t="inlineStr">
        <is>
          <t>Hiệp</t>
        </is>
      </c>
      <c r="I24" s="7" t="n">
        <v>6</v>
      </c>
      <c r="J24" s="7" t="inlineStr"/>
      <c r="K24" s="7" t="inlineStr"/>
      <c r="L24" s="7" t="inlineStr"/>
      <c r="M24" s="7" t="inlineStr"/>
    </row>
    <row r="25">
      <c r="A25" s="7">
        <f>ROW()-11</f>
        <v/>
      </c>
      <c r="B25" s="7" t="inlineStr">
        <is>
          <t>Bias Analysis</t>
        </is>
      </c>
      <c r="C25" s="7" t="inlineStr">
        <is>
          <t>Là Hưng (Data), tôi muốn tổng hợp phân tích thiên lệch văn hoá (danh mục 0 mẫu), để ghi chú thiên lệch sẵn sàng đưa vào báo cáo.</t>
        </is>
      </c>
      <c r="D25" s="7" t="inlineStr">
        <is>
          <t>Tổng hợp phân tích thiên lệch văn hoá (danh mục 0 mẫu)</t>
        </is>
      </c>
      <c r="E25" s="7" t="inlineStr">
        <is>
          <t>Data</t>
        </is>
      </c>
      <c r="F25" s="7" t="inlineStr">
        <is>
          <t>High</t>
        </is>
      </c>
      <c r="G25" s="7" t="inlineStr">
        <is>
          <t>To Do</t>
        </is>
      </c>
      <c r="H25" s="7" t="inlineStr">
        <is>
          <t>Hưng</t>
        </is>
      </c>
      <c r="I25" s="7" t="n">
        <v>6</v>
      </c>
      <c r="J25" s="7" t="inlineStr"/>
      <c r="K25" s="7" t="inlineStr"/>
      <c r="L25" s="7" t="inlineStr"/>
      <c r="M25" s="7" t="inlineStr"/>
    </row>
    <row r="26">
      <c r="A26" s="7">
        <f>ROW()-11</f>
        <v/>
      </c>
      <c r="B26" s="7" t="inlineStr">
        <is>
          <t>Report Writing</t>
        </is>
      </c>
      <c r="C26" s="7" t="inlineStr">
        <is>
          <t>Là Hưng (Report), tôi muốn viết Mục 5 báo cáo (kết quả, ablation, phân tích lỗi, thiên lệch), để draft Mục 5 hoàn chỉnh, khớp số liệu thật — phần nặng nhất.</t>
        </is>
      </c>
      <c r="D26" s="7" t="inlineStr">
        <is>
          <t>Viết Mục 5 báo cáo (kết quả, ablation, phân tích lỗi, thiên lệch)</t>
        </is>
      </c>
      <c r="E26" s="7" t="inlineStr">
        <is>
          <t>Report</t>
        </is>
      </c>
      <c r="F26" s="7" t="inlineStr">
        <is>
          <t>High</t>
        </is>
      </c>
      <c r="G26" s="7" t="inlineStr">
        <is>
          <t>To Do</t>
        </is>
      </c>
      <c r="H26" s="7" t="inlineStr">
        <is>
          <t>Hưng</t>
        </is>
      </c>
      <c r="I26" s="7" t="n">
        <v>10</v>
      </c>
      <c r="J26" s="7" t="inlineStr"/>
      <c r="K26" s="7" t="inlineStr"/>
      <c r="L26" s="7" t="inlineStr"/>
      <c r="M26" s="7" t="inlineStr"/>
    </row>
  </sheetData>
  <autoFilter ref="A11:M26"/>
  <conditionalFormatting sqref="G12:G26">
    <cfRule type="cellIs" priority="1" operator="equal" dxfId="0">
      <formula>"New"</formula>
    </cfRule>
    <cfRule type="cellIs" priority="3" operator="equal" dxfId="0">
      <formula>"To Do"</formula>
    </cfRule>
    <cfRule type="cellIs" priority="5" operator="equal" dxfId="0">
      <formula>"Todo"</formula>
    </cfRule>
    <cfRule type="cellIs" priority="7" operator="equal" dxfId="1">
      <formula>"In Progress"</formula>
    </cfRule>
    <cfRule type="cellIs" priority="9" operator="equal" dxfId="1">
      <formula>"Doing"</formula>
    </cfRule>
    <cfRule type="cellIs" priority="11" operator="equal" dxfId="1">
      <formula>"Testing"</formula>
    </cfRule>
    <cfRule type="cellIs" priority="13" operator="equal" dxfId="2">
      <formula>"Done"</formula>
    </cfRule>
    <cfRule type="cellIs" priority="15" operator="equal" dxfId="2">
      <formula>"Confirm"</formula>
    </cfRule>
    <cfRule type="cellIs" priority="17" operator="equal" dxfId="2">
      <formula>"Released"</formula>
    </cfRule>
    <cfRule type="cellIs" priority="19" operator="equal" dxfId="2">
      <formula>"Closed"</formula>
    </cfRule>
    <cfRule type="cellIs" priority="21" operator="equal" dxfId="3">
      <formula>"Reject"</formula>
    </cfRule>
    <cfRule type="cellIs" priority="23" operator="equal" dxfId="3">
      <formula>"Pending"</formula>
    </cfRule>
    <cfRule type="cellIs" priority="25" operator="equal" dxfId="3">
      <formula>"Blocked"</formula>
    </cfRule>
  </conditionalFormatting>
  <conditionalFormatting sqref="D3:D5">
    <cfRule type="cellIs" priority="2" operator="equal" dxfId="0">
      <formula>"New"</formula>
    </cfRule>
    <cfRule type="cellIs" priority="4" operator="equal" dxfId="0">
      <formula>"To Do"</formula>
    </cfRule>
    <cfRule type="cellIs" priority="6" operator="equal" dxfId="0">
      <formula>"Todo"</formula>
    </cfRule>
    <cfRule type="cellIs" priority="8" operator="equal" dxfId="1">
      <formula>"In Progress"</formula>
    </cfRule>
    <cfRule type="cellIs" priority="10" operator="equal" dxfId="1">
      <formula>"Doing"</formula>
    </cfRule>
    <cfRule type="cellIs" priority="12" operator="equal" dxfId="1">
      <formula>"Testing"</formula>
    </cfRule>
    <cfRule type="cellIs" priority="14" operator="equal" dxfId="2">
      <formula>"Done"</formula>
    </cfRule>
    <cfRule type="cellIs" priority="16" operator="equal" dxfId="2">
      <formula>"Confirm"</formula>
    </cfRule>
    <cfRule type="cellIs" priority="18" operator="equal" dxfId="2">
      <formula>"Released"</formula>
    </cfRule>
    <cfRule type="cellIs" priority="20" operator="equal" dxfId="2">
      <formula>"Closed"</formula>
    </cfRule>
    <cfRule type="cellIs" priority="22" operator="equal" dxfId="3">
      <formula>"Reject"</formula>
    </cfRule>
    <cfRule type="cellIs" priority="24" operator="equal" dxfId="3">
      <formula>"Pending"</formula>
    </cfRule>
    <cfRule type="cellIs" priority="26" operator="equal" dxfId="3">
      <formula>"Blocked"</formula>
    </cfRule>
  </conditionalFormatting>
  <dataValidations count="4">
    <dataValidation sqref="D3:D5" showDropDown="0" showInputMessage="0" showErrorMessage="0" allowBlank="1" type="list">
      <formula1>"To Do,Doing,Done,Confirm,Reject,Pending"</formula1>
    </dataValidation>
    <dataValidation sqref="G12:G26" showDropDown="0" showInputMessage="0" showErrorMessage="0" allowBlank="1" type="list">
      <formula1>"To Do,Doing,Done,Confirm,Reject,Pending"</formula1>
    </dataValidation>
    <dataValidation sqref="F12:F26" showDropDown="0" showInputMessage="0" showErrorMessage="0" allowBlank="1" type="list">
      <formula1>"High,Medium,Low"</formula1>
    </dataValidation>
    <dataValidation sqref="H12:H26" showDropDown="0" showInputMessage="0" showErrorMessage="0" allowBlank="1" type="list">
      <formula1>"Hưng,Hùng,Hiếu,Hiệp"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34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22" customWidth="1" min="13" max="13"/>
    <col width="8" customWidth="1" min="14" max="14"/>
    <col width="8" customWidth="1" min="15" max="15"/>
    <col width="22" customWidth="1" min="16" max="16"/>
  </cols>
  <sheetData>
    <row r="2">
      <c r="B2" s="14" t="inlineStr">
        <is>
          <t>MỤC TIÊU SPRINT</t>
        </is>
      </c>
      <c r="C2" s="15" t="n"/>
      <c r="D2" s="15" t="n"/>
      <c r="F2" s="14" t="inlineStr">
        <is>
          <t>DASHBOARD</t>
        </is>
      </c>
      <c r="G2" s="15" t="n"/>
      <c r="I2" s="14" t="inlineStr">
        <is>
          <t>GIỜ CÔNG</t>
        </is>
      </c>
      <c r="J2" s="15" t="n"/>
      <c r="K2" s="15" t="n"/>
      <c r="L2" s="15" t="n"/>
      <c r="M2" s="15" t="n"/>
      <c r="N2" s="15" t="n"/>
    </row>
    <row r="3">
      <c r="B3" t="inlineStr">
        <is>
          <t>Demo Streamlit + API chạy đầu-cuối</t>
        </is>
      </c>
      <c r="D3" t="inlineStr">
        <is>
          <t>To Do</t>
        </is>
      </c>
      <c r="F3" s="16" t="inlineStr">
        <is>
          <t>Total</t>
        </is>
      </c>
      <c r="G3" s="16">
        <f>COUNTA(A12:A19)</f>
        <v/>
      </c>
      <c r="I3" s="17" t="inlineStr">
        <is>
          <t>Member</t>
        </is>
      </c>
      <c r="J3" s="17" t="inlineStr">
        <is>
          <t>Mảng</t>
        </is>
      </c>
      <c r="K3" s="17" t="inlineStr">
        <is>
          <t>Tiêu chuẩn (h)</t>
        </is>
      </c>
      <c r="L3" s="17" t="inlineStr">
        <is>
          <t>Họp (h)</t>
        </is>
      </c>
      <c r="M3" s="17" t="inlineStr">
        <is>
          <t>Nghỉ (h)</t>
        </is>
      </c>
      <c r="N3" s="17" t="inlineStr">
        <is>
          <t>Tổng (h)</t>
        </is>
      </c>
    </row>
    <row r="4">
      <c r="B4" t="inlineStr">
        <is>
          <t>Báo cáo + slide hoàn chỉnh</t>
        </is>
      </c>
      <c r="D4" t="inlineStr">
        <is>
          <t>To Do</t>
        </is>
      </c>
      <c r="F4" s="16" t="inlineStr">
        <is>
          <t>To Do</t>
        </is>
      </c>
      <c r="G4" s="16">
        <f>COUNTIF(G12:G19,"To Do")</f>
        <v/>
      </c>
      <c r="I4" t="inlineStr">
        <is>
          <t>Hùng</t>
        </is>
      </c>
      <c r="J4" t="inlineStr">
        <is>
          <t>Model &amp; Training</t>
        </is>
      </c>
      <c r="K4" t="n">
        <v>8</v>
      </c>
      <c r="L4" t="n">
        <v>2</v>
      </c>
      <c r="M4" t="n">
        <v>0</v>
      </c>
      <c r="N4">
        <f>K4-L4-M4</f>
        <v/>
      </c>
    </row>
    <row r="5">
      <c r="F5" s="16" t="inlineStr">
        <is>
          <t>Doing</t>
        </is>
      </c>
      <c r="G5" s="16">
        <f>COUNTIF(G12:G19,"Doing")</f>
        <v/>
      </c>
      <c r="I5" t="inlineStr">
        <is>
          <t>Hiếu</t>
        </is>
      </c>
      <c r="J5" t="inlineStr">
        <is>
          <t>Evaluation</t>
        </is>
      </c>
      <c r="K5" t="n">
        <v>14</v>
      </c>
      <c r="L5" t="n">
        <v>2</v>
      </c>
      <c r="M5" t="n">
        <v>0</v>
      </c>
      <c r="N5">
        <f>K5-L5-M5</f>
        <v/>
      </c>
    </row>
    <row r="6">
      <c r="F6" s="16" t="inlineStr">
        <is>
          <t>Done</t>
        </is>
      </c>
      <c r="G6" s="16">
        <f>COUNTIF(G12:G19,"Done")</f>
        <v/>
      </c>
      <c r="I6" t="inlineStr">
        <is>
          <t>Hiệp</t>
        </is>
      </c>
      <c r="J6" t="inlineStr">
        <is>
          <t>Data &amp; Systems</t>
        </is>
      </c>
      <c r="K6" t="n">
        <v>22</v>
      </c>
      <c r="L6" t="n">
        <v>2</v>
      </c>
      <c r="M6" t="n">
        <v>0</v>
      </c>
      <c r="N6">
        <f>K6-L6-M6</f>
        <v/>
      </c>
    </row>
    <row r="7">
      <c r="F7" s="16" t="inlineStr">
        <is>
          <t>Confirm</t>
        </is>
      </c>
      <c r="G7" s="16">
        <f>COUNTIF(G12:G19,"Confirm")</f>
        <v/>
      </c>
      <c r="I7" t="inlineStr">
        <is>
          <t>Hưng</t>
        </is>
      </c>
      <c r="J7" t="inlineStr">
        <is>
          <t>Data &amp; Report</t>
        </is>
      </c>
      <c r="K7" t="n">
        <v>18</v>
      </c>
      <c r="L7" t="n">
        <v>3</v>
      </c>
      <c r="M7" t="n">
        <v>0</v>
      </c>
      <c r="N7">
        <f>K7-L7-M7</f>
        <v/>
      </c>
    </row>
    <row r="8">
      <c r="F8" s="16" t="inlineStr">
        <is>
          <t>Reject</t>
        </is>
      </c>
      <c r="G8" s="16">
        <f>COUNTIF(G12:G19,"Reject")</f>
        <v/>
      </c>
      <c r="M8" s="17" t="inlineStr">
        <is>
          <t>Tổng</t>
        </is>
      </c>
      <c r="N8" s="17">
        <f>SUM(N4:N7)</f>
        <v/>
      </c>
    </row>
    <row r="9">
      <c r="F9" s="16" t="inlineStr">
        <is>
          <t>Pending</t>
        </is>
      </c>
      <c r="G9" s="16">
        <f>COUNTIF(G12:G19,"Pending")</f>
        <v/>
      </c>
      <c r="I9" s="17" t="inlineStr">
        <is>
          <t>Công số KH (h)</t>
        </is>
      </c>
      <c r="J9" s="17">
        <f>SUM(I12:J19)</f>
        <v/>
      </c>
      <c r="K9" s="17" t="inlineStr">
        <is>
          <t>Công số TT (h)</t>
        </is>
      </c>
      <c r="L9" s="17">
        <f>SUM(K12:L19)</f>
        <v/>
      </c>
      <c r="M9" s="17" t="inlineStr">
        <is>
          <t>Tỉ lệ TT/KH</t>
        </is>
      </c>
      <c r="N9" s="18">
        <f>IFERROR(L9/J9,0)</f>
        <v/>
      </c>
    </row>
    <row r="11" ht="30" customHeight="1">
      <c r="A11" s="6" t="inlineStr">
        <is>
          <t>No</t>
        </is>
      </c>
      <c r="B11" s="6" t="inlineStr">
        <is>
          <t>Epic</t>
        </is>
      </c>
      <c r="C11" s="6" t="inlineStr">
        <is>
          <t>US (user story)</t>
        </is>
      </c>
      <c r="D11" s="6" t="inlineStr">
        <is>
          <t>Output (Task)</t>
        </is>
      </c>
      <c r="E11" s="6" t="inlineStr">
        <is>
          <t>Type</t>
        </is>
      </c>
      <c r="F11" s="6" t="inlineStr">
        <is>
          <t>Priority</t>
        </is>
      </c>
      <c r="G11" s="6" t="inlineStr">
        <is>
          <t>Status</t>
        </is>
      </c>
      <c r="H11" s="6" t="inlineStr">
        <is>
          <t>PIC</t>
        </is>
      </c>
      <c r="I11" s="6" t="inlineStr">
        <is>
          <t>Dev (hour)</t>
        </is>
      </c>
      <c r="J11" s="6" t="inlineStr">
        <is>
          <t>Test (hour)</t>
        </is>
      </c>
      <c r="K11" s="6" t="inlineStr">
        <is>
          <t>Dev Actual (h)</t>
        </is>
      </c>
      <c r="L11" s="6" t="inlineStr">
        <is>
          <t>Test Actual (h)</t>
        </is>
      </c>
      <c r="M11" s="6" t="inlineStr">
        <is>
          <t>Note</t>
        </is>
      </c>
    </row>
    <row r="12">
      <c r="A12" s="7" t="inlineStr">
        <is>
          <t>1</t>
        </is>
      </c>
      <c r="B12" s="7" t="inlineStr">
        <is>
          <t>Report Support</t>
        </is>
      </c>
      <c r="C12" s="7" t="inlineStr">
        <is>
          <t>Là Hùng (Model), tôi muốn tổng hợp số liệu mô hình/huấn luyện/ablation có cấu trúc, gửi để ghép báo cáo, để bảng số liệu đầy đủ.</t>
        </is>
      </c>
      <c r="D12" s="7" t="inlineStr">
        <is>
          <t>Tổng hợp số liệu mô hình/huấn luyện/ablation có cấu trúc, gửi để ghép báo cáo</t>
        </is>
      </c>
      <c r="E12" s="7" t="inlineStr">
        <is>
          <t>Model</t>
        </is>
      </c>
      <c r="F12" s="7" t="inlineStr">
        <is>
          <t>High</t>
        </is>
      </c>
      <c r="G12" s="7" t="inlineStr">
        <is>
          <t>To Do</t>
        </is>
      </c>
      <c r="H12" s="7" t="inlineStr">
        <is>
          <t>Hùng</t>
        </is>
      </c>
      <c r="I12" s="7" t="n">
        <v>6</v>
      </c>
      <c r="J12" s="7" t="inlineStr"/>
      <c r="K12" s="7" t="inlineStr"/>
      <c r="L12" s="7" t="inlineStr"/>
      <c r="M12" s="7" t="inlineStr"/>
    </row>
    <row r="13">
      <c r="A13" s="7">
        <f>ROW()-11</f>
        <v/>
      </c>
      <c r="B13" s="7" t="inlineStr">
        <is>
          <t>Demo Finalization</t>
        </is>
      </c>
      <c r="C13" s="7" t="inlineStr">
        <is>
          <t>Là Hùng (Model), tôi muốn hỗ trợ tối ưu inference cho demo nếu chậm, để demo phản hồi đủ nhanh khi trình diễn.</t>
        </is>
      </c>
      <c r="D13" s="7" t="inlineStr">
        <is>
          <t>Hỗ trợ tối ưu inference cho demo nếu chậm</t>
        </is>
      </c>
      <c r="E13" s="7" t="inlineStr">
        <is>
          <t>Model</t>
        </is>
      </c>
      <c r="F13" s="7" t="inlineStr">
        <is>
          <t>Medium</t>
        </is>
      </c>
      <c r="G13" s="7" t="inlineStr">
        <is>
          <t>To Do</t>
        </is>
      </c>
      <c r="H13" s="7" t="inlineStr">
        <is>
          <t>Hùng</t>
        </is>
      </c>
      <c r="I13" s="7" t="n">
        <v>4</v>
      </c>
      <c r="J13" s="7" t="inlineStr"/>
      <c r="K13" s="7" t="inlineStr"/>
      <c r="L13" s="7" t="inlineStr"/>
      <c r="M13" s="7" t="inlineStr"/>
    </row>
    <row r="14">
      <c r="A14" s="7">
        <f>ROW()-11</f>
        <v/>
      </c>
      <c r="B14" s="7" t="inlineStr">
        <is>
          <t>Report Support</t>
        </is>
      </c>
      <c r="C14" s="7" t="inlineStr">
        <is>
          <t>Là Hiếu (Evaluation), tôi muốn tổng hợp số liệu đánh giá/kết quả/phân tích lỗi có cấu trúc, để bảng số liệu đầy đủ.</t>
        </is>
      </c>
      <c r="D14" s="7" t="inlineStr">
        <is>
          <t>Tổng hợp số liệu đánh giá/kết quả/phân tích lỗi có cấu trúc</t>
        </is>
      </c>
      <c r="E14" s="7" t="inlineStr">
        <is>
          <t>Evaluation</t>
        </is>
      </c>
      <c r="F14" s="7" t="inlineStr">
        <is>
          <t>High</t>
        </is>
      </c>
      <c r="G14" s="7" t="inlineStr">
        <is>
          <t>To Do</t>
        </is>
      </c>
      <c r="H14" s="7" t="inlineStr">
        <is>
          <t>Hiếu</t>
        </is>
      </c>
      <c r="I14" s="7" t="inlineStr"/>
      <c r="J14" s="7" t="n">
        <v>6</v>
      </c>
      <c r="K14" s="7" t="inlineStr"/>
      <c r="L14" s="7" t="inlineStr"/>
      <c r="M14" s="7" t="inlineStr"/>
    </row>
    <row r="15">
      <c r="A15" s="7">
        <f>ROW()-11</f>
        <v/>
      </c>
      <c r="B15" s="7" t="inlineStr">
        <is>
          <t>Report Support</t>
        </is>
      </c>
      <c r="C15" s="7" t="inlineStr">
        <is>
          <t>Là Hiếu (Evaluation), tôi muốn kiểm thử số liệu tái lập đúng như báo cáo, để chạy lại cho ra đúng số đã viết.</t>
        </is>
      </c>
      <c r="D15" s="7" t="inlineStr">
        <is>
          <t>Kiểm thử số liệu tái lập đúng như báo cáo</t>
        </is>
      </c>
      <c r="E15" s="7" t="inlineStr">
        <is>
          <t>Evaluation</t>
        </is>
      </c>
      <c r="F15" s="7" t="inlineStr">
        <is>
          <t>High</t>
        </is>
      </c>
      <c r="G15" s="7" t="inlineStr">
        <is>
          <t>To Do</t>
        </is>
      </c>
      <c r="H15" s="7" t="inlineStr">
        <is>
          <t>Hiếu</t>
        </is>
      </c>
      <c r="I15" s="7" t="inlineStr"/>
      <c r="J15" s="7" t="n">
        <v>6</v>
      </c>
      <c r="K15" s="7" t="inlineStr"/>
      <c r="L15" s="7" t="inlineStr"/>
      <c r="M15" s="7" t="inlineStr"/>
    </row>
    <row r="16">
      <c r="A16" s="7">
        <f>ROW()-11</f>
        <v/>
      </c>
      <c r="B16" s="7" t="inlineStr">
        <is>
          <t>Demo Finalization</t>
        </is>
      </c>
      <c r="C16" s="7" t="inlineStr">
        <is>
          <t>Là Hiệp (Systems), tôi muốn hoàn thiện FastAPI (/search text+ảnh, lọc metadata) + Streamlit demo, để demo chạy đầu-cuối không lỗi.</t>
        </is>
      </c>
      <c r="D16" s="7" t="inlineStr">
        <is>
          <t>Hoàn thiện FastAPI (/search text+ảnh, lọc metadata) + Streamlit demo</t>
        </is>
      </c>
      <c r="E16" s="7" t="inlineStr">
        <is>
          <t>Systems</t>
        </is>
      </c>
      <c r="F16" s="7" t="inlineStr">
        <is>
          <t>High</t>
        </is>
      </c>
      <c r="G16" s="7" t="inlineStr">
        <is>
          <t>To Do</t>
        </is>
      </c>
      <c r="H16" s="7" t="inlineStr">
        <is>
          <t>Hiệp</t>
        </is>
      </c>
      <c r="I16" s="7" t="n">
        <v>6</v>
      </c>
      <c r="J16" s="7" t="inlineStr"/>
      <c r="K16" s="7" t="inlineStr"/>
      <c r="L16" s="7" t="inlineStr"/>
      <c r="M16" s="7" t="inlineStr"/>
    </row>
    <row r="17">
      <c r="A17" s="7">
        <f>ROW()-11</f>
        <v/>
      </c>
      <c r="B17" s="7" t="inlineStr">
        <is>
          <t>Report Support</t>
        </is>
      </c>
      <c r="C17" s="7" t="inlineStr">
        <is>
          <t>Là Hiệp (Systems), tôi muốn tổng hợp mô tả kiến trúc hệ thống + latency có cấu trúc, để ghi chú kỹ thuật đầy đủ.</t>
        </is>
      </c>
      <c r="D17" s="7" t="inlineStr">
        <is>
          <t>Tổng hợp mô tả kiến trúc hệ thống + latency có cấu trúc</t>
        </is>
      </c>
      <c r="E17" s="7" t="inlineStr">
        <is>
          <t>Systems</t>
        </is>
      </c>
      <c r="F17" s="7" t="inlineStr">
        <is>
          <t>High</t>
        </is>
      </c>
      <c r="G17" s="7" t="inlineStr">
        <is>
          <t>To Do</t>
        </is>
      </c>
      <c r="H17" s="7" t="inlineStr">
        <is>
          <t>Hiệp</t>
        </is>
      </c>
      <c r="I17" s="7" t="n">
        <v>6</v>
      </c>
      <c r="J17" s="7" t="inlineStr"/>
      <c r="K17" s="7" t="inlineStr"/>
      <c r="L17" s="7" t="inlineStr"/>
      <c r="M17" s="7" t="inlineStr"/>
    </row>
    <row r="18">
      <c r="A18" s="7">
        <f>ROW()-11</f>
        <v/>
      </c>
      <c r="B18" s="7" t="inlineStr">
        <is>
          <t>Slide Prep</t>
        </is>
      </c>
      <c r="C18" s="7" t="inlineStr">
        <is>
          <t>Là Hiệp (Systems), tôi muốn làm slide trình bày từ báo cáo đã hoàn thiện, để slide sẵn sàng trình bày.</t>
        </is>
      </c>
      <c r="D18" s="7" t="inlineStr">
        <is>
          <t>Làm slide trình bày từ báo cáo đã hoàn thiện</t>
        </is>
      </c>
      <c r="E18" s="7" t="inlineStr">
        <is>
          <t>Systems</t>
        </is>
      </c>
      <c r="F18" s="7" t="inlineStr">
        <is>
          <t>High</t>
        </is>
      </c>
      <c r="G18" s="7" t="inlineStr">
        <is>
          <t>To Do</t>
        </is>
      </c>
      <c r="H18" s="7" t="inlineStr">
        <is>
          <t>Hiệp</t>
        </is>
      </c>
      <c r="I18" s="7" t="n">
        <v>6</v>
      </c>
      <c r="J18" s="7" t="inlineStr"/>
      <c r="K18" s="7" t="inlineStr"/>
      <c r="L18" s="7" t="inlineStr"/>
      <c r="M18" s="7" t="inlineStr"/>
    </row>
    <row r="19">
      <c r="A19" s="7">
        <f>ROW()-11</f>
        <v/>
      </c>
      <c r="B19" s="7" t="inlineStr">
        <is>
          <t>Report Writing</t>
        </is>
      </c>
      <c r="C19" s="7" t="inlineStr">
        <is>
          <t>Là Hưng (Report), tôi muốn ghép các phần đã viết (Mục 1-2, 3.1-3.4, 5), viết abstract/kết luận, format lại toàn bộ, để báo cáo hoàn chỉnh, không còn chỗ thiếu.</t>
        </is>
      </c>
      <c r="D19" s="7" t="inlineStr">
        <is>
          <t>Ghép các phần đã viết (Mục 1-2, 3.1-3.4, 5), viết abstract/kết luận, format lại toàn bộ</t>
        </is>
      </c>
      <c r="E19" s="7" t="inlineStr">
        <is>
          <t>Report</t>
        </is>
      </c>
      <c r="F19" s="7" t="inlineStr">
        <is>
          <t>High</t>
        </is>
      </c>
      <c r="G19" s="7" t="inlineStr">
        <is>
          <t>To Do</t>
        </is>
      </c>
      <c r="H19" s="7" t="inlineStr">
        <is>
          <t>Hưng</t>
        </is>
      </c>
      <c r="I19" s="7" t="n">
        <v>8</v>
      </c>
      <c r="J19" s="7" t="inlineStr"/>
      <c r="K19" s="7" t="inlineStr"/>
      <c r="L19" s="7" t="inlineStr"/>
      <c r="M19" s="7" t="inlineStr"/>
    </row>
  </sheetData>
  <autoFilter ref="A11:M19"/>
  <conditionalFormatting sqref="G12:G19">
    <cfRule type="cellIs" priority="1" operator="equal" dxfId="0">
      <formula>"New"</formula>
    </cfRule>
    <cfRule type="cellIs" priority="3" operator="equal" dxfId="0">
      <formula>"To Do"</formula>
    </cfRule>
    <cfRule type="cellIs" priority="5" operator="equal" dxfId="0">
      <formula>"Todo"</formula>
    </cfRule>
    <cfRule type="cellIs" priority="7" operator="equal" dxfId="1">
      <formula>"In Progress"</formula>
    </cfRule>
    <cfRule type="cellIs" priority="9" operator="equal" dxfId="1">
      <formula>"Doing"</formula>
    </cfRule>
    <cfRule type="cellIs" priority="11" operator="equal" dxfId="1">
      <formula>"Testing"</formula>
    </cfRule>
    <cfRule type="cellIs" priority="13" operator="equal" dxfId="2">
      <formula>"Done"</formula>
    </cfRule>
    <cfRule type="cellIs" priority="15" operator="equal" dxfId="2">
      <formula>"Confirm"</formula>
    </cfRule>
    <cfRule type="cellIs" priority="17" operator="equal" dxfId="2">
      <formula>"Released"</formula>
    </cfRule>
    <cfRule type="cellIs" priority="19" operator="equal" dxfId="2">
      <formula>"Closed"</formula>
    </cfRule>
    <cfRule type="cellIs" priority="21" operator="equal" dxfId="3">
      <formula>"Reject"</formula>
    </cfRule>
    <cfRule type="cellIs" priority="23" operator="equal" dxfId="3">
      <formula>"Pending"</formula>
    </cfRule>
    <cfRule type="cellIs" priority="25" operator="equal" dxfId="3">
      <formula>"Blocked"</formula>
    </cfRule>
  </conditionalFormatting>
  <conditionalFormatting sqref="D3:D4">
    <cfRule type="cellIs" priority="2" operator="equal" dxfId="0">
      <formula>"New"</formula>
    </cfRule>
    <cfRule type="cellIs" priority="4" operator="equal" dxfId="0">
      <formula>"To Do"</formula>
    </cfRule>
    <cfRule type="cellIs" priority="6" operator="equal" dxfId="0">
      <formula>"Todo"</formula>
    </cfRule>
    <cfRule type="cellIs" priority="8" operator="equal" dxfId="1">
      <formula>"In Progress"</formula>
    </cfRule>
    <cfRule type="cellIs" priority="10" operator="equal" dxfId="1">
      <formula>"Doing"</formula>
    </cfRule>
    <cfRule type="cellIs" priority="12" operator="equal" dxfId="1">
      <formula>"Testing"</formula>
    </cfRule>
    <cfRule type="cellIs" priority="14" operator="equal" dxfId="2">
      <formula>"Done"</formula>
    </cfRule>
    <cfRule type="cellIs" priority="16" operator="equal" dxfId="2">
      <formula>"Confirm"</formula>
    </cfRule>
    <cfRule type="cellIs" priority="18" operator="equal" dxfId="2">
      <formula>"Released"</formula>
    </cfRule>
    <cfRule type="cellIs" priority="20" operator="equal" dxfId="2">
      <formula>"Closed"</formula>
    </cfRule>
    <cfRule type="cellIs" priority="22" operator="equal" dxfId="3">
      <formula>"Reject"</formula>
    </cfRule>
    <cfRule type="cellIs" priority="24" operator="equal" dxfId="3">
      <formula>"Pending"</formula>
    </cfRule>
    <cfRule type="cellIs" priority="26" operator="equal" dxfId="3">
      <formula>"Blocked"</formula>
    </cfRule>
  </conditionalFormatting>
  <dataValidations count="4">
    <dataValidation sqref="D3:D4" showDropDown="0" showInputMessage="0" showErrorMessage="0" allowBlank="1" type="list">
      <formula1>"To Do,Doing,Done,Confirm,Reject,Pending"</formula1>
    </dataValidation>
    <dataValidation sqref="G12:G19" showDropDown="0" showInputMessage="0" showErrorMessage="0" allowBlank="1" type="list">
      <formula1>"To Do,Doing,Done,Confirm,Reject,Pending"</formula1>
    </dataValidation>
    <dataValidation sqref="F12:F19" showDropDown="0" showInputMessage="0" showErrorMessage="0" allowBlank="1" type="list">
      <formula1>"High,Medium,Low"</formula1>
    </dataValidation>
    <dataValidation sqref="H12:H19" showDropDown="0" showInputMessage="0" showErrorMessage="0" allowBlank="1" type="list">
      <formula1>"Hưng,Hùng,Hiếu,Hiệp"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2026-08-20T15:47:17Z</dcterms:created>
  <dcterms:modified xmlns:dcterms="http://purl.org/dc/terms/" xmlns:xsi="http://www.w3.org/2001/XMLSchema-instance" xsi:type="dcterms:W3CDTF">2026-08-20T15:47:17Z</dcterms:modified>
</cp:coreProperties>
</file>